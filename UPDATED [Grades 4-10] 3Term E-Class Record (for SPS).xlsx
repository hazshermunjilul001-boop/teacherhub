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
    </mc:Choice>
  </mc:AlternateContent>
  <xr:revisionPtr revIDLastSave="0" documentId="13_ncr:1_{251A7C83-DCB5-47B3-8210-3AFB5847FA4C}" xr6:coauthVersionLast="47" xr6:coauthVersionMax="47" xr10:uidLastSave="{00000000-0000-0000-0000-000000000000}"/>
  <bookViews>
    <workbookView xWindow="-108" yWindow="-108" windowWidth="23256" windowHeight="12456" xr2:uid="{00000000-000D-0000-FFFF-FFFF00000000}"/>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18" i="8" l="1"/>
  <c r="AC118" i="8" s="1"/>
  <c r="AD118" i="8" s="1"/>
  <c r="Z118" i="8"/>
  <c r="AA118" i="8" s="1"/>
  <c r="Y118" i="8"/>
  <c r="X118" i="8"/>
  <c r="W118" i="8"/>
  <c r="S118" i="8"/>
  <c r="R118" i="8"/>
  <c r="Q118" i="8"/>
  <c r="L118" i="8"/>
  <c r="M118" i="8" s="1"/>
  <c r="K118" i="8"/>
  <c r="C118" i="8"/>
  <c r="AB117" i="8"/>
  <c r="AC117" i="8" s="1"/>
  <c r="AD117" i="8" s="1"/>
  <c r="Z117" i="8"/>
  <c r="AA117" i="8" s="1"/>
  <c r="Y117" i="8"/>
  <c r="X117" i="8"/>
  <c r="W117" i="8"/>
  <c r="S117" i="8"/>
  <c r="R117" i="8"/>
  <c r="Q117" i="8"/>
  <c r="L117" i="8"/>
  <c r="M117" i="8" s="1"/>
  <c r="K117" i="8"/>
  <c r="C117" i="8"/>
  <c r="AB116" i="8"/>
  <c r="AC116" i="8" s="1"/>
  <c r="AD116" i="8" s="1"/>
  <c r="Z116" i="8"/>
  <c r="AA116" i="8" s="1"/>
  <c r="Y116" i="8"/>
  <c r="X116" i="8"/>
  <c r="W116" i="8"/>
  <c r="S116" i="8"/>
  <c r="R116" i="8"/>
  <c r="Q116" i="8"/>
  <c r="L116" i="8"/>
  <c r="M116" i="8" s="1"/>
  <c r="K116" i="8"/>
  <c r="C116" i="8"/>
  <c r="AB115" i="8"/>
  <c r="AC115" i="8" s="1"/>
  <c r="AD115" i="8" s="1"/>
  <c r="Z115" i="8"/>
  <c r="AA115" i="8" s="1"/>
  <c r="Y115" i="8"/>
  <c r="X115" i="8"/>
  <c r="W115" i="8"/>
  <c r="R115" i="8"/>
  <c r="S115" i="8" s="1"/>
  <c r="Q115" i="8"/>
  <c r="L115" i="8"/>
  <c r="M115" i="8" s="1"/>
  <c r="K115" i="8"/>
  <c r="C115" i="8"/>
  <c r="AB114" i="8"/>
  <c r="AC114" i="8" s="1"/>
  <c r="AD114" i="8" s="1"/>
  <c r="Z114" i="8"/>
  <c r="AA114" i="8" s="1"/>
  <c r="Y114" i="8"/>
  <c r="X114" i="8"/>
  <c r="W114" i="8"/>
  <c r="S114" i="8"/>
  <c r="R114" i="8"/>
  <c r="Q114" i="8"/>
  <c r="L114" i="8"/>
  <c r="M114" i="8" s="1"/>
  <c r="K114" i="8"/>
  <c r="C114" i="8"/>
  <c r="AB113" i="8"/>
  <c r="AC113" i="8" s="1"/>
  <c r="AD113" i="8" s="1"/>
  <c r="Z113" i="8"/>
  <c r="AA113" i="8" s="1"/>
  <c r="Y113" i="8"/>
  <c r="X113" i="8"/>
  <c r="W113" i="8"/>
  <c r="S113" i="8"/>
  <c r="R113" i="8"/>
  <c r="Q113" i="8"/>
  <c r="L113" i="8"/>
  <c r="M113" i="8" s="1"/>
  <c r="K113" i="8"/>
  <c r="C113" i="8"/>
  <c r="AB112" i="8"/>
  <c r="AC112" i="8" s="1"/>
  <c r="AD112" i="8" s="1"/>
  <c r="Z112" i="8"/>
  <c r="AA112" i="8" s="1"/>
  <c r="Y112" i="8"/>
  <c r="X112" i="8"/>
  <c r="W112" i="8"/>
  <c r="S112" i="8"/>
  <c r="R112" i="8"/>
  <c r="Q112" i="8"/>
  <c r="L112" i="8"/>
  <c r="M112" i="8" s="1"/>
  <c r="K112" i="8"/>
  <c r="C112" i="8"/>
  <c r="AB111" i="8"/>
  <c r="AC111" i="8" s="1"/>
  <c r="AD111" i="8" s="1"/>
  <c r="Z111" i="8"/>
  <c r="AA111" i="8" s="1"/>
  <c r="Y111" i="8"/>
  <c r="X111" i="8"/>
  <c r="W111" i="8"/>
  <c r="R111" i="8"/>
  <c r="S111" i="8" s="1"/>
  <c r="Q111" i="8"/>
  <c r="L111" i="8"/>
  <c r="M111" i="8" s="1"/>
  <c r="K111" i="8"/>
  <c r="C111" i="8"/>
  <c r="AB110" i="8"/>
  <c r="AC110" i="8" s="1"/>
  <c r="AD110" i="8" s="1"/>
  <c r="Z110" i="8"/>
  <c r="AA110" i="8" s="1"/>
  <c r="Y110" i="8"/>
  <c r="X110" i="8"/>
  <c r="W110" i="8"/>
  <c r="S110" i="8"/>
  <c r="R110" i="8"/>
  <c r="Q110" i="8"/>
  <c r="L110" i="8"/>
  <c r="M110" i="8" s="1"/>
  <c r="K110" i="8"/>
  <c r="C110" i="8"/>
  <c r="AB109" i="8"/>
  <c r="AC109" i="8" s="1"/>
  <c r="AD109" i="8" s="1"/>
  <c r="Z109" i="8"/>
  <c r="AA109" i="8" s="1"/>
  <c r="Y109" i="8"/>
  <c r="X109" i="8"/>
  <c r="W109" i="8"/>
  <c r="S109" i="8"/>
  <c r="R109" i="8"/>
  <c r="Q109" i="8"/>
  <c r="L109" i="8"/>
  <c r="M109" i="8" s="1"/>
  <c r="K109" i="8"/>
  <c r="C109" i="8"/>
  <c r="AB108" i="8"/>
  <c r="AC108" i="8" s="1"/>
  <c r="AD108" i="8" s="1"/>
  <c r="Z108" i="8"/>
  <c r="AA108" i="8" s="1"/>
  <c r="Y108" i="8"/>
  <c r="X108" i="8"/>
  <c r="W108" i="8"/>
  <c r="S108" i="8"/>
  <c r="R108" i="8"/>
  <c r="Q108" i="8"/>
  <c r="L108" i="8"/>
  <c r="M108" i="8" s="1"/>
  <c r="K108" i="8"/>
  <c r="C108" i="8"/>
  <c r="AB107" i="8"/>
  <c r="AC107" i="8" s="1"/>
  <c r="AD107" i="8" s="1"/>
  <c r="Z107" i="8"/>
  <c r="AA107" i="8" s="1"/>
  <c r="Y107" i="8"/>
  <c r="X107" i="8"/>
  <c r="W107" i="8"/>
  <c r="R107" i="8"/>
  <c r="S107" i="8" s="1"/>
  <c r="Q107" i="8"/>
  <c r="L107" i="8"/>
  <c r="M107" i="8" s="1"/>
  <c r="K107" i="8"/>
  <c r="C107" i="8"/>
  <c r="AB106" i="8"/>
  <c r="AC106" i="8" s="1"/>
  <c r="AD106" i="8" s="1"/>
  <c r="Z106" i="8"/>
  <c r="AA106" i="8" s="1"/>
  <c r="Y106" i="8"/>
  <c r="X106" i="8"/>
  <c r="W106" i="8"/>
  <c r="S106" i="8"/>
  <c r="R106" i="8"/>
  <c r="Q106" i="8"/>
  <c r="L106" i="8"/>
  <c r="M106" i="8" s="1"/>
  <c r="K106" i="8"/>
  <c r="C106" i="8"/>
  <c r="AB105" i="8"/>
  <c r="AC105" i="8" s="1"/>
  <c r="AD105" i="8" s="1"/>
  <c r="Z105" i="8"/>
  <c r="AA105" i="8" s="1"/>
  <c r="Y105" i="8"/>
  <c r="X105" i="8"/>
  <c r="W105" i="8"/>
  <c r="S105" i="8"/>
  <c r="R105" i="8"/>
  <c r="Q105" i="8"/>
  <c r="L105" i="8"/>
  <c r="M105" i="8" s="1"/>
  <c r="K105" i="8"/>
  <c r="C105" i="8"/>
  <c r="AB104" i="8"/>
  <c r="AC104" i="8" s="1"/>
  <c r="AD104" i="8" s="1"/>
  <c r="Z104" i="8"/>
  <c r="AA104" i="8" s="1"/>
  <c r="Y104" i="8"/>
  <c r="X104" i="8"/>
  <c r="W104" i="8"/>
  <c r="S104" i="8"/>
  <c r="R104" i="8"/>
  <c r="Q104" i="8"/>
  <c r="L104" i="8"/>
  <c r="M104" i="8" s="1"/>
  <c r="K104" i="8"/>
  <c r="C104" i="8"/>
  <c r="AB103" i="8"/>
  <c r="AC103" i="8" s="1"/>
  <c r="AD103" i="8" s="1"/>
  <c r="Z103" i="8"/>
  <c r="AA103" i="8" s="1"/>
  <c r="Y103" i="8"/>
  <c r="X103" i="8"/>
  <c r="W103" i="8"/>
  <c r="R103" i="8"/>
  <c r="S103" i="8" s="1"/>
  <c r="Q103" i="8"/>
  <c r="L103" i="8"/>
  <c r="M103" i="8" s="1"/>
  <c r="K103" i="8"/>
  <c r="C103" i="8"/>
  <c r="AB102" i="8"/>
  <c r="AC102" i="8" s="1"/>
  <c r="AD102" i="8" s="1"/>
  <c r="Z102" i="8"/>
  <c r="AA102" i="8" s="1"/>
  <c r="Y102" i="8"/>
  <c r="X102" i="8"/>
  <c r="W102" i="8"/>
  <c r="S102" i="8"/>
  <c r="R102" i="8"/>
  <c r="Q102" i="8"/>
  <c r="L102" i="8"/>
  <c r="M102" i="8" s="1"/>
  <c r="K102" i="8"/>
  <c r="C102" i="8"/>
  <c r="AB101" i="8"/>
  <c r="AC101" i="8" s="1"/>
  <c r="AD101" i="8" s="1"/>
  <c r="Z101" i="8"/>
  <c r="AA101" i="8" s="1"/>
  <c r="Y101" i="8"/>
  <c r="X101" i="8"/>
  <c r="W101" i="8"/>
  <c r="S101" i="8"/>
  <c r="R101" i="8"/>
  <c r="Q101" i="8"/>
  <c r="L101" i="8"/>
  <c r="M101" i="8" s="1"/>
  <c r="K101" i="8"/>
  <c r="C101" i="8"/>
  <c r="AB100" i="8"/>
  <c r="AC100" i="8" s="1"/>
  <c r="AD100" i="8" s="1"/>
  <c r="Z100" i="8"/>
  <c r="AA100" i="8" s="1"/>
  <c r="Y100" i="8"/>
  <c r="X100" i="8"/>
  <c r="W100" i="8"/>
  <c r="S100" i="8"/>
  <c r="R100" i="8"/>
  <c r="Q100" i="8"/>
  <c r="L100" i="8"/>
  <c r="M100" i="8" s="1"/>
  <c r="K100" i="8"/>
  <c r="C100" i="8"/>
  <c r="AB99" i="8"/>
  <c r="AC99" i="8" s="1"/>
  <c r="AD99" i="8" s="1"/>
  <c r="Z99" i="8"/>
  <c r="AA99" i="8" s="1"/>
  <c r="Y99" i="8"/>
  <c r="X99" i="8"/>
  <c r="W99" i="8"/>
  <c r="R99" i="8"/>
  <c r="S99" i="8" s="1"/>
  <c r="Q99" i="8"/>
  <c r="L99" i="8"/>
  <c r="M99" i="8" s="1"/>
  <c r="K99" i="8"/>
  <c r="C99" i="8"/>
  <c r="AB98" i="8"/>
  <c r="AC98" i="8" s="1"/>
  <c r="AD98" i="8" s="1"/>
  <c r="Z98" i="8"/>
  <c r="AA98" i="8" s="1"/>
  <c r="Y98" i="8"/>
  <c r="X98" i="8"/>
  <c r="W98" i="8"/>
  <c r="S98" i="8"/>
  <c r="R98" i="8"/>
  <c r="Q98" i="8"/>
  <c r="L98" i="8"/>
  <c r="M98" i="8" s="1"/>
  <c r="K98" i="8"/>
  <c r="C98" i="8"/>
  <c r="AB97" i="8"/>
  <c r="AC97" i="8" s="1"/>
  <c r="AD97" i="8" s="1"/>
  <c r="Z97" i="8"/>
  <c r="AA97" i="8" s="1"/>
  <c r="Y97" i="8"/>
  <c r="X97" i="8"/>
  <c r="W97" i="8"/>
  <c r="S97" i="8"/>
  <c r="R97" i="8"/>
  <c r="Q97" i="8"/>
  <c r="L97" i="8"/>
  <c r="M97" i="8" s="1"/>
  <c r="K97" i="8"/>
  <c r="C97" i="8"/>
  <c r="AB96" i="8"/>
  <c r="AC96" i="8" s="1"/>
  <c r="AD96" i="8" s="1"/>
  <c r="Z96" i="8"/>
  <c r="AA96" i="8" s="1"/>
  <c r="Y96" i="8"/>
  <c r="X96" i="8"/>
  <c r="W96" i="8"/>
  <c r="S96" i="8"/>
  <c r="R96" i="8"/>
  <c r="Q96" i="8"/>
  <c r="L96" i="8"/>
  <c r="M96" i="8" s="1"/>
  <c r="K96" i="8"/>
  <c r="C96" i="8"/>
  <c r="AB95" i="8"/>
  <c r="AC95" i="8" s="1"/>
  <c r="AD95" i="8" s="1"/>
  <c r="Z95" i="8"/>
  <c r="AA95" i="8" s="1"/>
  <c r="Y95" i="8"/>
  <c r="X95" i="8"/>
  <c r="W95" i="8"/>
  <c r="R95" i="8"/>
  <c r="S95" i="8" s="1"/>
  <c r="Q95" i="8"/>
  <c r="L95" i="8"/>
  <c r="M95" i="8" s="1"/>
  <c r="K95" i="8"/>
  <c r="C95" i="8"/>
  <c r="AB94" i="8"/>
  <c r="AC94" i="8" s="1"/>
  <c r="AD94" i="8" s="1"/>
  <c r="Z94" i="8"/>
  <c r="AA94" i="8" s="1"/>
  <c r="Y94" i="8"/>
  <c r="X94" i="8"/>
  <c r="W94" i="8"/>
  <c r="S94" i="8"/>
  <c r="R94" i="8"/>
  <c r="Q94" i="8"/>
  <c r="L94" i="8"/>
  <c r="M94" i="8" s="1"/>
  <c r="K94" i="8"/>
  <c r="C94" i="8"/>
  <c r="AB93" i="8"/>
  <c r="AC93" i="8" s="1"/>
  <c r="AD93" i="8" s="1"/>
  <c r="Z93" i="8"/>
  <c r="AA93" i="8" s="1"/>
  <c r="Y93" i="8"/>
  <c r="X93" i="8"/>
  <c r="W93" i="8"/>
  <c r="S93" i="8"/>
  <c r="R93" i="8"/>
  <c r="Q93" i="8"/>
  <c r="L93" i="8"/>
  <c r="M93" i="8" s="1"/>
  <c r="K93" i="8"/>
  <c r="C93" i="8"/>
  <c r="AB92" i="8"/>
  <c r="AC92" i="8" s="1"/>
  <c r="AD92" i="8" s="1"/>
  <c r="Z92" i="8"/>
  <c r="AA92" i="8" s="1"/>
  <c r="Y92" i="8"/>
  <c r="X92" i="8"/>
  <c r="W92" i="8"/>
  <c r="S92" i="8"/>
  <c r="R92" i="8"/>
  <c r="Q92" i="8"/>
  <c r="L92" i="8"/>
  <c r="M92" i="8" s="1"/>
  <c r="K92" i="8"/>
  <c r="C92" i="8"/>
  <c r="AB91" i="8"/>
  <c r="AC91" i="8" s="1"/>
  <c r="AD91" i="8" s="1"/>
  <c r="Z91" i="8"/>
  <c r="AA91" i="8" s="1"/>
  <c r="Y91" i="8"/>
  <c r="X91" i="8"/>
  <c r="W91" i="8"/>
  <c r="R91" i="8"/>
  <c r="S91" i="8" s="1"/>
  <c r="Q91" i="8"/>
  <c r="L91" i="8"/>
  <c r="M91" i="8" s="1"/>
  <c r="K91" i="8"/>
  <c r="C91" i="8"/>
  <c r="AB90" i="8"/>
  <c r="AC90" i="8" s="1"/>
  <c r="AD90" i="8" s="1"/>
  <c r="Z90" i="8"/>
  <c r="AA90" i="8" s="1"/>
  <c r="Y90" i="8"/>
  <c r="X90" i="8"/>
  <c r="W90" i="8"/>
  <c r="S90" i="8"/>
  <c r="R90" i="8"/>
  <c r="Q90" i="8"/>
  <c r="L90" i="8"/>
  <c r="M90" i="8" s="1"/>
  <c r="K90" i="8"/>
  <c r="C90" i="8"/>
  <c r="AB89" i="8"/>
  <c r="AC89" i="8" s="1"/>
  <c r="AD89" i="8" s="1"/>
  <c r="Z89" i="8"/>
  <c r="AA89" i="8" s="1"/>
  <c r="Y89" i="8"/>
  <c r="X89" i="8"/>
  <c r="W89" i="8"/>
  <c r="S89" i="8"/>
  <c r="R89" i="8"/>
  <c r="Q89" i="8"/>
  <c r="L89" i="8"/>
  <c r="M89" i="8" s="1"/>
  <c r="K89" i="8"/>
  <c r="C89" i="8"/>
  <c r="AB88" i="8"/>
  <c r="AC88" i="8" s="1"/>
  <c r="AD88" i="8" s="1"/>
  <c r="Z88" i="8"/>
  <c r="AA88" i="8" s="1"/>
  <c r="Y88" i="8"/>
  <c r="X88" i="8"/>
  <c r="W88" i="8"/>
  <c r="S88" i="8"/>
  <c r="R88" i="8"/>
  <c r="Q88" i="8"/>
  <c r="L88" i="8"/>
  <c r="M88" i="8" s="1"/>
  <c r="K88" i="8"/>
  <c r="C88" i="8"/>
  <c r="AB87" i="8"/>
  <c r="AC87" i="8" s="1"/>
  <c r="AD87" i="8" s="1"/>
  <c r="Z87" i="8"/>
  <c r="AA87" i="8" s="1"/>
  <c r="Y87" i="8"/>
  <c r="X87" i="8"/>
  <c r="W87" i="8"/>
  <c r="R87" i="8"/>
  <c r="S87" i="8" s="1"/>
  <c r="Q87" i="8"/>
  <c r="L87" i="8"/>
  <c r="M87" i="8" s="1"/>
  <c r="K87" i="8"/>
  <c r="C87" i="8"/>
  <c r="AB86" i="8"/>
  <c r="AC86" i="8" s="1"/>
  <c r="AD86" i="8" s="1"/>
  <c r="Z86" i="8"/>
  <c r="AA86" i="8" s="1"/>
  <c r="Y86" i="8"/>
  <c r="X86" i="8"/>
  <c r="W86" i="8"/>
  <c r="S86" i="8"/>
  <c r="R86" i="8"/>
  <c r="Q86" i="8"/>
  <c r="L86" i="8"/>
  <c r="M86" i="8" s="1"/>
  <c r="K86" i="8"/>
  <c r="C86" i="8"/>
  <c r="AB85" i="8"/>
  <c r="AC85" i="8" s="1"/>
  <c r="AD85" i="8" s="1"/>
  <c r="Z85" i="8"/>
  <c r="AA85" i="8" s="1"/>
  <c r="Y85" i="8"/>
  <c r="X85" i="8"/>
  <c r="W85" i="8"/>
  <c r="S85" i="8"/>
  <c r="R85" i="8"/>
  <c r="Q85" i="8"/>
  <c r="L85" i="8"/>
  <c r="M85" i="8" s="1"/>
  <c r="K85" i="8"/>
  <c r="C85" i="8"/>
  <c r="AB84" i="8"/>
  <c r="AC84" i="8" s="1"/>
  <c r="AD84" i="8" s="1"/>
  <c r="Z84" i="8"/>
  <c r="AA84" i="8" s="1"/>
  <c r="Y84" i="8"/>
  <c r="X84" i="8"/>
  <c r="W84" i="8"/>
  <c r="S84" i="8"/>
  <c r="R84" i="8"/>
  <c r="Q84" i="8"/>
  <c r="L84" i="8"/>
  <c r="M84" i="8" s="1"/>
  <c r="K84" i="8"/>
  <c r="C84" i="8"/>
  <c r="AB83" i="8"/>
  <c r="AC83" i="8" s="1"/>
  <c r="AD83" i="8" s="1"/>
  <c r="Z83" i="8"/>
  <c r="AA83" i="8" s="1"/>
  <c r="Y83" i="8"/>
  <c r="X83" i="8"/>
  <c r="W83" i="8"/>
  <c r="R83" i="8"/>
  <c r="S83" i="8" s="1"/>
  <c r="Q83" i="8"/>
  <c r="L83" i="8"/>
  <c r="M83" i="8" s="1"/>
  <c r="K83" i="8"/>
  <c r="C83" i="8"/>
  <c r="AB82" i="8"/>
  <c r="AC82" i="8" s="1"/>
  <c r="AD82" i="8" s="1"/>
  <c r="Z82" i="8"/>
  <c r="AA82" i="8" s="1"/>
  <c r="Y82" i="8"/>
  <c r="X82" i="8"/>
  <c r="W82" i="8"/>
  <c r="S82" i="8"/>
  <c r="R82" i="8"/>
  <c r="Q82" i="8"/>
  <c r="L82" i="8"/>
  <c r="M82" i="8" s="1"/>
  <c r="K82" i="8"/>
  <c r="C82" i="8"/>
  <c r="AB81" i="8"/>
  <c r="AC81" i="8" s="1"/>
  <c r="AD81" i="8" s="1"/>
  <c r="Z81" i="8"/>
  <c r="AA81" i="8" s="1"/>
  <c r="Y81" i="8"/>
  <c r="X81" i="8"/>
  <c r="W81" i="8"/>
  <c r="S81" i="8"/>
  <c r="R81" i="8"/>
  <c r="Q81" i="8"/>
  <c r="L81" i="8"/>
  <c r="M81" i="8" s="1"/>
  <c r="K81" i="8"/>
  <c r="C81" i="8"/>
  <c r="AB80" i="8"/>
  <c r="AC80" i="8" s="1"/>
  <c r="AD80" i="8" s="1"/>
  <c r="Z80" i="8"/>
  <c r="AA80" i="8" s="1"/>
  <c r="Y80" i="8"/>
  <c r="X80" i="8"/>
  <c r="W80" i="8"/>
  <c r="S80" i="8"/>
  <c r="R80" i="8"/>
  <c r="Q80" i="8"/>
  <c r="L80" i="8"/>
  <c r="M80" i="8" s="1"/>
  <c r="K80" i="8"/>
  <c r="C80" i="8"/>
  <c r="AB79" i="8"/>
  <c r="AC79" i="8" s="1"/>
  <c r="AD79" i="8" s="1"/>
  <c r="Z79" i="8"/>
  <c r="AA79" i="8" s="1"/>
  <c r="Y79" i="8"/>
  <c r="X79" i="8"/>
  <c r="W79" i="8"/>
  <c r="R79" i="8"/>
  <c r="S79" i="8" s="1"/>
  <c r="Q79" i="8"/>
  <c r="L79" i="8"/>
  <c r="M79" i="8" s="1"/>
  <c r="K79" i="8"/>
  <c r="C79" i="8"/>
  <c r="AB78" i="8"/>
  <c r="AC78" i="8" s="1"/>
  <c r="AD78" i="8" s="1"/>
  <c r="Z78" i="8"/>
  <c r="AA78" i="8" s="1"/>
  <c r="Y78" i="8"/>
  <c r="X78" i="8"/>
  <c r="W78" i="8"/>
  <c r="S78" i="8"/>
  <c r="R78" i="8"/>
  <c r="Q78" i="8"/>
  <c r="L78" i="8"/>
  <c r="M78" i="8" s="1"/>
  <c r="K78" i="8"/>
  <c r="C78" i="8"/>
  <c r="AB77" i="8"/>
  <c r="AC77" i="8" s="1"/>
  <c r="AD77" i="8" s="1"/>
  <c r="Z77" i="8"/>
  <c r="AA77" i="8" s="1"/>
  <c r="Y77" i="8"/>
  <c r="X77" i="8"/>
  <c r="W77" i="8"/>
  <c r="S77" i="8"/>
  <c r="R77" i="8"/>
  <c r="Q77" i="8"/>
  <c r="L77" i="8"/>
  <c r="M77" i="8" s="1"/>
  <c r="K77" i="8"/>
  <c r="C77" i="8"/>
  <c r="AB76" i="8"/>
  <c r="AC76" i="8" s="1"/>
  <c r="AD76" i="8" s="1"/>
  <c r="Z76" i="8"/>
  <c r="AA76" i="8" s="1"/>
  <c r="Y76" i="8"/>
  <c r="X76" i="8"/>
  <c r="W76" i="8"/>
  <c r="S76" i="8"/>
  <c r="R76" i="8"/>
  <c r="Q76" i="8"/>
  <c r="L76" i="8"/>
  <c r="M76" i="8" s="1"/>
  <c r="K76" i="8"/>
  <c r="C76" i="8"/>
  <c r="AB75" i="8"/>
  <c r="AC75" i="8" s="1"/>
  <c r="AD75" i="8" s="1"/>
  <c r="Z75" i="8"/>
  <c r="AA75" i="8" s="1"/>
  <c r="Y75" i="8"/>
  <c r="X75" i="8"/>
  <c r="W75" i="8"/>
  <c r="R75" i="8"/>
  <c r="S75" i="8" s="1"/>
  <c r="Q75" i="8"/>
  <c r="L75" i="8"/>
  <c r="M75" i="8" s="1"/>
  <c r="K75" i="8"/>
  <c r="C75" i="8"/>
  <c r="AB74" i="8"/>
  <c r="AC74" i="8" s="1"/>
  <c r="AD74" i="8" s="1"/>
  <c r="Z74" i="8"/>
  <c r="AA74" i="8" s="1"/>
  <c r="Y74" i="8"/>
  <c r="X74" i="8"/>
  <c r="W74" i="8"/>
  <c r="S74" i="8"/>
  <c r="R74" i="8"/>
  <c r="Q74" i="8"/>
  <c r="L74" i="8"/>
  <c r="M74" i="8" s="1"/>
  <c r="K74" i="8"/>
  <c r="C74" i="8"/>
  <c r="AB73" i="8"/>
  <c r="AC73" i="8" s="1"/>
  <c r="AD73" i="8" s="1"/>
  <c r="Z73" i="8"/>
  <c r="AA73" i="8" s="1"/>
  <c r="Y73" i="8"/>
  <c r="X73" i="8"/>
  <c r="W73" i="8"/>
  <c r="S73" i="8"/>
  <c r="R73" i="8"/>
  <c r="Q73" i="8"/>
  <c r="L73" i="8"/>
  <c r="M73" i="8" s="1"/>
  <c r="K73" i="8"/>
  <c r="C73" i="8"/>
  <c r="AB72" i="8"/>
  <c r="AC72" i="8" s="1"/>
  <c r="AD72" i="8" s="1"/>
  <c r="Z72" i="8"/>
  <c r="AA72" i="8" s="1"/>
  <c r="Y72" i="8"/>
  <c r="X72" i="8"/>
  <c r="W72" i="8"/>
  <c r="S72" i="8"/>
  <c r="R72" i="8"/>
  <c r="Q72" i="8"/>
  <c r="L72" i="8"/>
  <c r="M72" i="8" s="1"/>
  <c r="K72" i="8"/>
  <c r="C72" i="8"/>
  <c r="AB71" i="8"/>
  <c r="AC71" i="8" s="1"/>
  <c r="AD71" i="8" s="1"/>
  <c r="Z71" i="8"/>
  <c r="AA71" i="8" s="1"/>
  <c r="Y71" i="8"/>
  <c r="X71" i="8"/>
  <c r="W71" i="8"/>
  <c r="R71" i="8"/>
  <c r="S71" i="8" s="1"/>
  <c r="Q71" i="8"/>
  <c r="L71" i="8"/>
  <c r="M71" i="8" s="1"/>
  <c r="K71" i="8"/>
  <c r="C71" i="8"/>
  <c r="AB70" i="8"/>
  <c r="AC70" i="8" s="1"/>
  <c r="AD70" i="8" s="1"/>
  <c r="Z70" i="8"/>
  <c r="AA70" i="8" s="1"/>
  <c r="Y70" i="8"/>
  <c r="X70" i="8"/>
  <c r="W70" i="8"/>
  <c r="S70" i="8"/>
  <c r="R70" i="8"/>
  <c r="Q70" i="8"/>
  <c r="L70" i="8"/>
  <c r="M70" i="8" s="1"/>
  <c r="K70" i="8"/>
  <c r="C70" i="8"/>
  <c r="AB69" i="8"/>
  <c r="AC69" i="8" s="1"/>
  <c r="AD69" i="8" s="1"/>
  <c r="Z69" i="8"/>
  <c r="AA69" i="8" s="1"/>
  <c r="Y69" i="8"/>
  <c r="X69" i="8"/>
  <c r="W69" i="8"/>
  <c r="S69" i="8"/>
  <c r="R69" i="8"/>
  <c r="Q69" i="8"/>
  <c r="L69" i="8"/>
  <c r="M69" i="8" s="1"/>
  <c r="K69" i="8"/>
  <c r="C69" i="8"/>
  <c r="AB67" i="8"/>
  <c r="AC67" i="8" s="1"/>
  <c r="AD67" i="8" s="1"/>
  <c r="Z67" i="8"/>
  <c r="AA67" i="8" s="1"/>
  <c r="Y67" i="8"/>
  <c r="X67" i="8"/>
  <c r="W67" i="8"/>
  <c r="S67" i="8"/>
  <c r="R67" i="8"/>
  <c r="Q67" i="8"/>
  <c r="L67" i="8"/>
  <c r="M67" i="8" s="1"/>
  <c r="K67" i="8"/>
  <c r="C67" i="8"/>
  <c r="AB66" i="8"/>
  <c r="AC66" i="8" s="1"/>
  <c r="AD66" i="8" s="1"/>
  <c r="Z66" i="8"/>
  <c r="AA66" i="8" s="1"/>
  <c r="Y66" i="8"/>
  <c r="X66" i="8"/>
  <c r="W66" i="8"/>
  <c r="R66" i="8"/>
  <c r="S66" i="8" s="1"/>
  <c r="Q66" i="8"/>
  <c r="L66" i="8"/>
  <c r="M66" i="8" s="1"/>
  <c r="K66" i="8"/>
  <c r="C66" i="8"/>
  <c r="AB65" i="8"/>
  <c r="AC65" i="8" s="1"/>
  <c r="AD65" i="8" s="1"/>
  <c r="Z65" i="8"/>
  <c r="AA65" i="8" s="1"/>
  <c r="Y65" i="8"/>
  <c r="X65" i="8"/>
  <c r="W65" i="8"/>
  <c r="S65" i="8"/>
  <c r="R65" i="8"/>
  <c r="Q65" i="8"/>
  <c r="L65" i="8"/>
  <c r="M65" i="8" s="1"/>
  <c r="K65" i="8"/>
  <c r="C65" i="8"/>
  <c r="AB64" i="8"/>
  <c r="AC64" i="8" s="1"/>
  <c r="AD64" i="8" s="1"/>
  <c r="Z64" i="8"/>
  <c r="AA64" i="8" s="1"/>
  <c r="Y64" i="8"/>
  <c r="X64" i="8"/>
  <c r="W64" i="8"/>
  <c r="S64" i="8"/>
  <c r="R64" i="8"/>
  <c r="Q64" i="8"/>
  <c r="L64" i="8"/>
  <c r="M64" i="8" s="1"/>
  <c r="K64" i="8"/>
  <c r="C64" i="8"/>
  <c r="AB63" i="8"/>
  <c r="AC63" i="8" s="1"/>
  <c r="AD63" i="8" s="1"/>
  <c r="Z63" i="8"/>
  <c r="AA63" i="8" s="1"/>
  <c r="Y63" i="8"/>
  <c r="X63" i="8"/>
  <c r="W63" i="8"/>
  <c r="S63" i="8"/>
  <c r="R63" i="8"/>
  <c r="Q63" i="8"/>
  <c r="L63" i="8"/>
  <c r="M63" i="8" s="1"/>
  <c r="K63" i="8"/>
  <c r="C63" i="8"/>
  <c r="AB62" i="8"/>
  <c r="AC62" i="8" s="1"/>
  <c r="AD62" i="8" s="1"/>
  <c r="Z62" i="8"/>
  <c r="AA62" i="8" s="1"/>
  <c r="Y62" i="8"/>
  <c r="X62" i="8"/>
  <c r="W62" i="8"/>
  <c r="R62" i="8"/>
  <c r="S62" i="8" s="1"/>
  <c r="Q62" i="8"/>
  <c r="L62" i="8"/>
  <c r="M62" i="8" s="1"/>
  <c r="K62" i="8"/>
  <c r="C62" i="8"/>
  <c r="AB61" i="8"/>
  <c r="AC61" i="8" s="1"/>
  <c r="AD61" i="8" s="1"/>
  <c r="Z61" i="8"/>
  <c r="AA61" i="8" s="1"/>
  <c r="Y61" i="8"/>
  <c r="X61" i="8"/>
  <c r="W61" i="8"/>
  <c r="S61" i="8"/>
  <c r="R61" i="8"/>
  <c r="Q61" i="8"/>
  <c r="L61" i="8"/>
  <c r="M61" i="8" s="1"/>
  <c r="K61" i="8"/>
  <c r="C61" i="8"/>
  <c r="AB60" i="8"/>
  <c r="AC60" i="8" s="1"/>
  <c r="AD60" i="8" s="1"/>
  <c r="Z60" i="8"/>
  <c r="AA60" i="8" s="1"/>
  <c r="Y60" i="8"/>
  <c r="X60" i="8"/>
  <c r="W60" i="8"/>
  <c r="S60" i="8"/>
  <c r="R60" i="8"/>
  <c r="Q60" i="8"/>
  <c r="L60" i="8"/>
  <c r="M60" i="8" s="1"/>
  <c r="K60" i="8"/>
  <c r="C60" i="8"/>
  <c r="AB59" i="8"/>
  <c r="AC59" i="8" s="1"/>
  <c r="AD59" i="8" s="1"/>
  <c r="Z59" i="8"/>
  <c r="AA59" i="8" s="1"/>
  <c r="Y59" i="8"/>
  <c r="X59" i="8"/>
  <c r="W59" i="8"/>
  <c r="S59" i="8"/>
  <c r="R59" i="8"/>
  <c r="Q59" i="8"/>
  <c r="L59" i="8"/>
  <c r="M59" i="8" s="1"/>
  <c r="K59" i="8"/>
  <c r="C59" i="8"/>
  <c r="AB58" i="8"/>
  <c r="AC58" i="8" s="1"/>
  <c r="AD58" i="8" s="1"/>
  <c r="Z58" i="8"/>
  <c r="AA58" i="8" s="1"/>
  <c r="Y58" i="8"/>
  <c r="X58" i="8"/>
  <c r="W58" i="8"/>
  <c r="R58" i="8"/>
  <c r="S58" i="8" s="1"/>
  <c r="Q58" i="8"/>
  <c r="L58" i="8"/>
  <c r="M58" i="8" s="1"/>
  <c r="K58" i="8"/>
  <c r="C58" i="8"/>
  <c r="AB57" i="8"/>
  <c r="AC57" i="8" s="1"/>
  <c r="AD57" i="8" s="1"/>
  <c r="Z57" i="8"/>
  <c r="AA57" i="8" s="1"/>
  <c r="Y57" i="8"/>
  <c r="X57" i="8"/>
  <c r="W57" i="8"/>
  <c r="S57" i="8"/>
  <c r="R57" i="8"/>
  <c r="Q57" i="8"/>
  <c r="L57" i="8"/>
  <c r="M57" i="8" s="1"/>
  <c r="K57" i="8"/>
  <c r="C57" i="8"/>
  <c r="AB56" i="8"/>
  <c r="AC56" i="8" s="1"/>
  <c r="AD56" i="8" s="1"/>
  <c r="Z56" i="8"/>
  <c r="AA56" i="8" s="1"/>
  <c r="Y56" i="8"/>
  <c r="X56" i="8"/>
  <c r="W56" i="8"/>
  <c r="S56" i="8"/>
  <c r="R56" i="8"/>
  <c r="Q56" i="8"/>
  <c r="L56" i="8"/>
  <c r="M56" i="8" s="1"/>
  <c r="K56" i="8"/>
  <c r="C56" i="8"/>
  <c r="AB55" i="8"/>
  <c r="AC55" i="8" s="1"/>
  <c r="AD55" i="8" s="1"/>
  <c r="Z55" i="8"/>
  <c r="AA55" i="8" s="1"/>
  <c r="Y55" i="8"/>
  <c r="X55" i="8"/>
  <c r="W55" i="8"/>
  <c r="S55" i="8"/>
  <c r="R55" i="8"/>
  <c r="Q55" i="8"/>
  <c r="L55" i="8"/>
  <c r="M55" i="8" s="1"/>
  <c r="K55" i="8"/>
  <c r="C55" i="8"/>
  <c r="AB54" i="8"/>
  <c r="AC54" i="8" s="1"/>
  <c r="AD54" i="8" s="1"/>
  <c r="Z54" i="8"/>
  <c r="AA54" i="8" s="1"/>
  <c r="Y54" i="8"/>
  <c r="X54" i="8"/>
  <c r="W54" i="8"/>
  <c r="R54" i="8"/>
  <c r="S54" i="8" s="1"/>
  <c r="Q54" i="8"/>
  <c r="L54" i="8"/>
  <c r="M54" i="8" s="1"/>
  <c r="K54" i="8"/>
  <c r="C54" i="8"/>
  <c r="AB53" i="8"/>
  <c r="AC53" i="8" s="1"/>
  <c r="AD53" i="8" s="1"/>
  <c r="Z53" i="8"/>
  <c r="AA53" i="8" s="1"/>
  <c r="Y53" i="8"/>
  <c r="X53" i="8"/>
  <c r="W53" i="8"/>
  <c r="S53" i="8"/>
  <c r="R53" i="8"/>
  <c r="Q53" i="8"/>
  <c r="L53" i="8"/>
  <c r="M53" i="8" s="1"/>
  <c r="K53" i="8"/>
  <c r="C53" i="8"/>
  <c r="AB52" i="8"/>
  <c r="AC52" i="8" s="1"/>
  <c r="AD52" i="8" s="1"/>
  <c r="Z52" i="8"/>
  <c r="AA52" i="8" s="1"/>
  <c r="Y52" i="8"/>
  <c r="X52" i="8"/>
  <c r="W52" i="8"/>
  <c r="S52" i="8"/>
  <c r="R52" i="8"/>
  <c r="Q52" i="8"/>
  <c r="L52" i="8"/>
  <c r="M52" i="8" s="1"/>
  <c r="K52" i="8"/>
  <c r="C52" i="8"/>
  <c r="AB51" i="8"/>
  <c r="AC51" i="8" s="1"/>
  <c r="AD51" i="8" s="1"/>
  <c r="Z51" i="8"/>
  <c r="AA51" i="8" s="1"/>
  <c r="Y51" i="8"/>
  <c r="X51" i="8"/>
  <c r="W51" i="8"/>
  <c r="S51" i="8"/>
  <c r="R51" i="8"/>
  <c r="Q51" i="8"/>
  <c r="L51" i="8"/>
  <c r="M51" i="8" s="1"/>
  <c r="K51" i="8"/>
  <c r="C51" i="8"/>
  <c r="AB50" i="8"/>
  <c r="AC50" i="8" s="1"/>
  <c r="AD50" i="8" s="1"/>
  <c r="Z50" i="8"/>
  <c r="AA50" i="8" s="1"/>
  <c r="Y50" i="8"/>
  <c r="X50" i="8"/>
  <c r="W50" i="8"/>
  <c r="R50" i="8"/>
  <c r="S50" i="8" s="1"/>
  <c r="Q50" i="8"/>
  <c r="L50" i="8"/>
  <c r="M50" i="8" s="1"/>
  <c r="K50" i="8"/>
  <c r="C50" i="8"/>
  <c r="AB49" i="8"/>
  <c r="AC49" i="8" s="1"/>
  <c r="AD49" i="8" s="1"/>
  <c r="Z49" i="8"/>
  <c r="AA49" i="8" s="1"/>
  <c r="Y49" i="8"/>
  <c r="X49" i="8"/>
  <c r="W49" i="8"/>
  <c r="S49" i="8"/>
  <c r="R49" i="8"/>
  <c r="Q49" i="8"/>
  <c r="L49" i="8"/>
  <c r="M49" i="8" s="1"/>
  <c r="K49" i="8"/>
  <c r="C49" i="8"/>
  <c r="AB48" i="8"/>
  <c r="AC48" i="8" s="1"/>
  <c r="AD48" i="8" s="1"/>
  <c r="Z48" i="8"/>
  <c r="AA48" i="8" s="1"/>
  <c r="Y48" i="8"/>
  <c r="X48" i="8"/>
  <c r="W48" i="8"/>
  <c r="S48" i="8"/>
  <c r="R48" i="8"/>
  <c r="Q48" i="8"/>
  <c r="L48" i="8"/>
  <c r="M48" i="8" s="1"/>
  <c r="K48" i="8"/>
  <c r="C48" i="8"/>
  <c r="AB47" i="8"/>
  <c r="AC47" i="8" s="1"/>
  <c r="AD47" i="8" s="1"/>
  <c r="Z47" i="8"/>
  <c r="AA47" i="8" s="1"/>
  <c r="Y47" i="8"/>
  <c r="X47" i="8"/>
  <c r="W47" i="8"/>
  <c r="S47" i="8"/>
  <c r="R47" i="8"/>
  <c r="Q47" i="8"/>
  <c r="L47" i="8"/>
  <c r="M47" i="8" s="1"/>
  <c r="K47" i="8"/>
  <c r="C47" i="8"/>
  <c r="AB46" i="8"/>
  <c r="AC46" i="8" s="1"/>
  <c r="AD46" i="8" s="1"/>
  <c r="Z46" i="8"/>
  <c r="AA46" i="8" s="1"/>
  <c r="Y46" i="8"/>
  <c r="X46" i="8"/>
  <c r="W46" i="8"/>
  <c r="R46" i="8"/>
  <c r="S46" i="8" s="1"/>
  <c r="Q46" i="8"/>
  <c r="L46" i="8"/>
  <c r="M46" i="8" s="1"/>
  <c r="K46" i="8"/>
  <c r="C46" i="8"/>
  <c r="AB45" i="8"/>
  <c r="AC45" i="8" s="1"/>
  <c r="AD45" i="8" s="1"/>
  <c r="Z45" i="8"/>
  <c r="AA45" i="8" s="1"/>
  <c r="Y45" i="8"/>
  <c r="X45" i="8"/>
  <c r="W45" i="8"/>
  <c r="S45" i="8"/>
  <c r="R45" i="8"/>
  <c r="Q45" i="8"/>
  <c r="L45" i="8"/>
  <c r="M45" i="8" s="1"/>
  <c r="K45" i="8"/>
  <c r="C45" i="8"/>
  <c r="AB44" i="8"/>
  <c r="AC44" i="8" s="1"/>
  <c r="AD44" i="8" s="1"/>
  <c r="Z44" i="8"/>
  <c r="AA44" i="8" s="1"/>
  <c r="Y44" i="8"/>
  <c r="X44" i="8"/>
  <c r="W44" i="8"/>
  <c r="S44" i="8"/>
  <c r="R44" i="8"/>
  <c r="Q44" i="8"/>
  <c r="L44" i="8"/>
  <c r="M44" i="8" s="1"/>
  <c r="K44" i="8"/>
  <c r="C44" i="8"/>
  <c r="AB43" i="8"/>
  <c r="AC43" i="8" s="1"/>
  <c r="AD43" i="8" s="1"/>
  <c r="Z43" i="8"/>
  <c r="AA43" i="8" s="1"/>
  <c r="Y43" i="8"/>
  <c r="X43" i="8"/>
  <c r="W43" i="8"/>
  <c r="S43" i="8"/>
  <c r="R43" i="8"/>
  <c r="Q43" i="8"/>
  <c r="L43" i="8"/>
  <c r="M43" i="8" s="1"/>
  <c r="K43" i="8"/>
  <c r="C43" i="8"/>
  <c r="AB42" i="8"/>
  <c r="AC42" i="8" s="1"/>
  <c r="AD42" i="8" s="1"/>
  <c r="Z42" i="8"/>
  <c r="AA42" i="8" s="1"/>
  <c r="Y42" i="8"/>
  <c r="X42" i="8"/>
  <c r="W42" i="8"/>
  <c r="R42" i="8"/>
  <c r="S42" i="8" s="1"/>
  <c r="Q42" i="8"/>
  <c r="L42" i="8"/>
  <c r="M42" i="8" s="1"/>
  <c r="K42" i="8"/>
  <c r="C42" i="8"/>
  <c r="AB41" i="8"/>
  <c r="AC41" i="8" s="1"/>
  <c r="AD41" i="8" s="1"/>
  <c r="Z41" i="8"/>
  <c r="AA41" i="8" s="1"/>
  <c r="Y41" i="8"/>
  <c r="X41" i="8"/>
  <c r="W41" i="8"/>
  <c r="S41" i="8"/>
  <c r="R41" i="8"/>
  <c r="Q41" i="8"/>
  <c r="L41" i="8"/>
  <c r="M41" i="8" s="1"/>
  <c r="K41" i="8"/>
  <c r="C41" i="8"/>
  <c r="AB40" i="8"/>
  <c r="AC40" i="8" s="1"/>
  <c r="AD40" i="8" s="1"/>
  <c r="Z40" i="8"/>
  <c r="AA40" i="8" s="1"/>
  <c r="Y40" i="8"/>
  <c r="X40" i="8"/>
  <c r="W40" i="8"/>
  <c r="S40" i="8"/>
  <c r="R40" i="8"/>
  <c r="Q40" i="8"/>
  <c r="L40" i="8"/>
  <c r="M40" i="8" s="1"/>
  <c r="K40" i="8"/>
  <c r="C40" i="8"/>
  <c r="AB39" i="8"/>
  <c r="AC39" i="8" s="1"/>
  <c r="AD39" i="8" s="1"/>
  <c r="Z39" i="8"/>
  <c r="AA39" i="8" s="1"/>
  <c r="Y39" i="8"/>
  <c r="X39" i="8"/>
  <c r="W39" i="8"/>
  <c r="S39" i="8"/>
  <c r="R39" i="8"/>
  <c r="Q39" i="8"/>
  <c r="L39" i="8"/>
  <c r="M39" i="8" s="1"/>
  <c r="K39" i="8"/>
  <c r="C39" i="8"/>
  <c r="AB38" i="8"/>
  <c r="AC38" i="8" s="1"/>
  <c r="AD38" i="8" s="1"/>
  <c r="Z38" i="8"/>
  <c r="AA38" i="8" s="1"/>
  <c r="Y38" i="8"/>
  <c r="X38" i="8"/>
  <c r="W38" i="8"/>
  <c r="R38" i="8"/>
  <c r="S38" i="8" s="1"/>
  <c r="Q38" i="8"/>
  <c r="L38" i="8"/>
  <c r="M38" i="8" s="1"/>
  <c r="K38" i="8"/>
  <c r="C38" i="8"/>
  <c r="AB37" i="8"/>
  <c r="AC37" i="8" s="1"/>
  <c r="AD37" i="8" s="1"/>
  <c r="Z37" i="8"/>
  <c r="AA37" i="8" s="1"/>
  <c r="Y37" i="8"/>
  <c r="X37" i="8"/>
  <c r="W37" i="8"/>
  <c r="S37" i="8"/>
  <c r="R37" i="8"/>
  <c r="Q37" i="8"/>
  <c r="L37" i="8"/>
  <c r="M37" i="8" s="1"/>
  <c r="K37" i="8"/>
  <c r="C37" i="8"/>
  <c r="AB36" i="8"/>
  <c r="AC36" i="8" s="1"/>
  <c r="AD36" i="8" s="1"/>
  <c r="Z36" i="8"/>
  <c r="AA36" i="8" s="1"/>
  <c r="Y36" i="8"/>
  <c r="X36" i="8"/>
  <c r="W36" i="8"/>
  <c r="S36" i="8"/>
  <c r="R36" i="8"/>
  <c r="Q36" i="8"/>
  <c r="L36" i="8"/>
  <c r="M36" i="8" s="1"/>
  <c r="K36" i="8"/>
  <c r="C36" i="8"/>
  <c r="AB35" i="8"/>
  <c r="AC35" i="8" s="1"/>
  <c r="AD35" i="8" s="1"/>
  <c r="Z35" i="8"/>
  <c r="AA35" i="8" s="1"/>
  <c r="Y35" i="8"/>
  <c r="X35" i="8"/>
  <c r="W35" i="8"/>
  <c r="S35" i="8"/>
  <c r="R35" i="8"/>
  <c r="Q35" i="8"/>
  <c r="L35" i="8"/>
  <c r="M35" i="8" s="1"/>
  <c r="K35" i="8"/>
  <c r="C35" i="8"/>
  <c r="AB34" i="8"/>
  <c r="AC34" i="8" s="1"/>
  <c r="AD34" i="8" s="1"/>
  <c r="Z34" i="8"/>
  <c r="AA34" i="8" s="1"/>
  <c r="Y34" i="8"/>
  <c r="X34" i="8"/>
  <c r="W34" i="8"/>
  <c r="R34" i="8"/>
  <c r="S34" i="8" s="1"/>
  <c r="Q34" i="8"/>
  <c r="L34" i="8"/>
  <c r="M34" i="8" s="1"/>
  <c r="K34" i="8"/>
  <c r="C34" i="8"/>
  <c r="AB33" i="8"/>
  <c r="AC33" i="8" s="1"/>
  <c r="AD33" i="8" s="1"/>
  <c r="Z33" i="8"/>
  <c r="AA33" i="8" s="1"/>
  <c r="Y33" i="8"/>
  <c r="X33" i="8"/>
  <c r="W33" i="8"/>
  <c r="S33" i="8"/>
  <c r="R33" i="8"/>
  <c r="Q33" i="8"/>
  <c r="L33" i="8"/>
  <c r="M33" i="8" s="1"/>
  <c r="K33" i="8"/>
  <c r="C33" i="8"/>
  <c r="AB32" i="8"/>
  <c r="AC32" i="8" s="1"/>
  <c r="AD32" i="8" s="1"/>
  <c r="Z32" i="8"/>
  <c r="AA32" i="8" s="1"/>
  <c r="Y32" i="8"/>
  <c r="X32" i="8"/>
  <c r="W32" i="8"/>
  <c r="S32" i="8"/>
  <c r="R32" i="8"/>
  <c r="Q32" i="8"/>
  <c r="L32" i="8"/>
  <c r="M32" i="8" s="1"/>
  <c r="K32" i="8"/>
  <c r="C32" i="8"/>
  <c r="AB31" i="8"/>
  <c r="AC31" i="8" s="1"/>
  <c r="AD31" i="8" s="1"/>
  <c r="Z31" i="8"/>
  <c r="AA31" i="8" s="1"/>
  <c r="Y31" i="8"/>
  <c r="X31" i="8"/>
  <c r="W31" i="8"/>
  <c r="S31" i="8"/>
  <c r="R31" i="8"/>
  <c r="Q31" i="8"/>
  <c r="L31" i="8"/>
  <c r="M31" i="8" s="1"/>
  <c r="K31" i="8"/>
  <c r="C31" i="8"/>
  <c r="AB30" i="8"/>
  <c r="AC30" i="8" s="1"/>
  <c r="AD30" i="8" s="1"/>
  <c r="Z30" i="8"/>
  <c r="AA30" i="8" s="1"/>
  <c r="Y30" i="8"/>
  <c r="X30" i="8"/>
  <c r="W30" i="8"/>
  <c r="R30" i="8"/>
  <c r="S30" i="8" s="1"/>
  <c r="Q30" i="8"/>
  <c r="L30" i="8"/>
  <c r="M30" i="8" s="1"/>
  <c r="K30" i="8"/>
  <c r="C30" i="8"/>
  <c r="AB29" i="8"/>
  <c r="AC29" i="8" s="1"/>
  <c r="AD29" i="8" s="1"/>
  <c r="Z29" i="8"/>
  <c r="AA29" i="8" s="1"/>
  <c r="Y29" i="8"/>
  <c r="X29" i="8"/>
  <c r="W29" i="8"/>
  <c r="S29" i="8"/>
  <c r="R29" i="8"/>
  <c r="Q29" i="8"/>
  <c r="L29" i="8"/>
  <c r="M29" i="8" s="1"/>
  <c r="K29" i="8"/>
  <c r="C29" i="8"/>
  <c r="AB28" i="8"/>
  <c r="AC28" i="8" s="1"/>
  <c r="AD28" i="8" s="1"/>
  <c r="Z28" i="8"/>
  <c r="AA28" i="8" s="1"/>
  <c r="Y28" i="8"/>
  <c r="X28" i="8"/>
  <c r="W28" i="8"/>
  <c r="S28" i="8"/>
  <c r="R28" i="8"/>
  <c r="Q28" i="8"/>
  <c r="L28" i="8"/>
  <c r="M28" i="8" s="1"/>
  <c r="K28" i="8"/>
  <c r="C28" i="8"/>
  <c r="AB27" i="8"/>
  <c r="AC27" i="8" s="1"/>
  <c r="AD27" i="8" s="1"/>
  <c r="Z27" i="8"/>
  <c r="AA27" i="8" s="1"/>
  <c r="Y27" i="8"/>
  <c r="X27" i="8"/>
  <c r="W27" i="8"/>
  <c r="R27" i="8"/>
  <c r="S27" i="8" s="1"/>
  <c r="Q27" i="8"/>
  <c r="L27" i="8"/>
  <c r="M27" i="8" s="1"/>
  <c r="K27" i="8"/>
  <c r="C27" i="8"/>
  <c r="AB26" i="8"/>
  <c r="AC26" i="8" s="1"/>
  <c r="AD26" i="8" s="1"/>
  <c r="Z26" i="8"/>
  <c r="AA26" i="8" s="1"/>
  <c r="Y26" i="8"/>
  <c r="X26" i="8"/>
  <c r="W26" i="8"/>
  <c r="R26" i="8"/>
  <c r="S26" i="8" s="1"/>
  <c r="Q26" i="8"/>
  <c r="L26" i="8"/>
  <c r="M26" i="8" s="1"/>
  <c r="K26" i="8"/>
  <c r="C26" i="8"/>
  <c r="AB25" i="8"/>
  <c r="AC25" i="8" s="1"/>
  <c r="AD25" i="8" s="1"/>
  <c r="Z25" i="8"/>
  <c r="AA25" i="8" s="1"/>
  <c r="Y25" i="8"/>
  <c r="X25" i="8"/>
  <c r="W25" i="8"/>
  <c r="S25" i="8"/>
  <c r="R25" i="8"/>
  <c r="Q25" i="8"/>
  <c r="L25" i="8"/>
  <c r="M25" i="8" s="1"/>
  <c r="K25" i="8"/>
  <c r="C25" i="8"/>
  <c r="AB24" i="8"/>
  <c r="AC24" i="8" s="1"/>
  <c r="AD24" i="8" s="1"/>
  <c r="Z24" i="8"/>
  <c r="AA24" i="8" s="1"/>
  <c r="Y24" i="8"/>
  <c r="X24" i="8"/>
  <c r="W24" i="8"/>
  <c r="S24" i="8"/>
  <c r="R24" i="8"/>
  <c r="Q24" i="8"/>
  <c r="L24" i="8"/>
  <c r="M24" i="8" s="1"/>
  <c r="K24" i="8"/>
  <c r="C24" i="8"/>
  <c r="AB23" i="8"/>
  <c r="AC23" i="8" s="1"/>
  <c r="AD23" i="8" s="1"/>
  <c r="Z23" i="8"/>
  <c r="AA23" i="8" s="1"/>
  <c r="Y23" i="8"/>
  <c r="X23" i="8"/>
  <c r="W23" i="8"/>
  <c r="R23" i="8"/>
  <c r="S23" i="8" s="1"/>
  <c r="Q23" i="8"/>
  <c r="L23" i="8"/>
  <c r="M23" i="8" s="1"/>
  <c r="K23" i="8"/>
  <c r="C23" i="8"/>
  <c r="AB22" i="8"/>
  <c r="AC22" i="8" s="1"/>
  <c r="AD22" i="8" s="1"/>
  <c r="Z22" i="8"/>
  <c r="AA22" i="8" s="1"/>
  <c r="Y22" i="8"/>
  <c r="X22" i="8"/>
  <c r="W22" i="8"/>
  <c r="R22" i="8"/>
  <c r="S22" i="8" s="1"/>
  <c r="Q22" i="8"/>
  <c r="L22" i="8"/>
  <c r="M22" i="8" s="1"/>
  <c r="K22" i="8"/>
  <c r="C22" i="8"/>
  <c r="Z21" i="8"/>
  <c r="AA21" i="8" s="1"/>
  <c r="AB21" i="8" s="1"/>
  <c r="AC21" i="8" s="1"/>
  <c r="AD21" i="8" s="1"/>
  <c r="Y21" i="8"/>
  <c r="X21" i="8"/>
  <c r="W21" i="8"/>
  <c r="S21" i="8"/>
  <c r="R21" i="8"/>
  <c r="Q21" i="8"/>
  <c r="L21" i="8"/>
  <c r="M21" i="8" s="1"/>
  <c r="K21" i="8"/>
  <c r="C21" i="8"/>
  <c r="Z20" i="8"/>
  <c r="AA20" i="8" s="1"/>
  <c r="AB20" i="8" s="1"/>
  <c r="AC20" i="8" s="1"/>
  <c r="AD20" i="8" s="1"/>
  <c r="Y20" i="8"/>
  <c r="X20" i="8"/>
  <c r="W20" i="8"/>
  <c r="S20" i="8"/>
  <c r="R20" i="8"/>
  <c r="Q20" i="8"/>
  <c r="L20" i="8"/>
  <c r="M20" i="8" s="1"/>
  <c r="K20" i="8"/>
  <c r="C20" i="8"/>
  <c r="Y19" i="8"/>
  <c r="X19" i="8"/>
  <c r="Z19" i="8" s="1"/>
  <c r="AA19" i="8" s="1"/>
  <c r="W19" i="8"/>
  <c r="R19" i="8"/>
  <c r="S19" i="8" s="1"/>
  <c r="Q19" i="8"/>
  <c r="L19" i="8"/>
  <c r="M19" i="8" s="1"/>
  <c r="K19" i="8"/>
  <c r="C19" i="8"/>
  <c r="Y18" i="8"/>
  <c r="X18" i="8"/>
  <c r="W18" i="8"/>
  <c r="Z18" i="8" s="1"/>
  <c r="AA18" i="8" s="1"/>
  <c r="R18" i="8"/>
  <c r="S18" i="8" s="1"/>
  <c r="Q18" i="8"/>
  <c r="K18" i="8"/>
  <c r="C18" i="8"/>
  <c r="Q15" i="8"/>
  <c r="K15" i="8"/>
  <c r="J11" i="8"/>
  <c r="AA10" i="8"/>
  <c r="Q10" i="8"/>
  <c r="J10" i="8"/>
  <c r="Z7" i="8"/>
  <c r="F7" i="8"/>
  <c r="Z5" i="8"/>
  <c r="R5" i="8"/>
  <c r="F5" i="8"/>
  <c r="AB118" i="7"/>
  <c r="AC118" i="7" s="1"/>
  <c r="AD118" i="7" s="1"/>
  <c r="AA118" i="7"/>
  <c r="Z118" i="7"/>
  <c r="Y118" i="7"/>
  <c r="X118" i="7"/>
  <c r="W118" i="7"/>
  <c r="R118" i="7"/>
  <c r="S118" i="7" s="1"/>
  <c r="Q118" i="7"/>
  <c r="L118" i="7"/>
  <c r="M118" i="7" s="1"/>
  <c r="K118" i="7"/>
  <c r="C118" i="7"/>
  <c r="AB117" i="7"/>
  <c r="AC117" i="7" s="1"/>
  <c r="AD117" i="7" s="1"/>
  <c r="Z117" i="7"/>
  <c r="AA117" i="7" s="1"/>
  <c r="Y117" i="7"/>
  <c r="X117" i="7"/>
  <c r="W117" i="7"/>
  <c r="S117" i="7"/>
  <c r="R117" i="7"/>
  <c r="Q117" i="7"/>
  <c r="L117" i="7"/>
  <c r="M117" i="7" s="1"/>
  <c r="K117" i="7"/>
  <c r="C117" i="7"/>
  <c r="AB116" i="7"/>
  <c r="AC116" i="7" s="1"/>
  <c r="AD116" i="7" s="1"/>
  <c r="Z116" i="7"/>
  <c r="AA116" i="7" s="1"/>
  <c r="Y116" i="7"/>
  <c r="X116" i="7"/>
  <c r="W116" i="7"/>
  <c r="R116" i="7"/>
  <c r="S116" i="7" s="1"/>
  <c r="Q116" i="7"/>
  <c r="L116" i="7"/>
  <c r="M116" i="7" s="1"/>
  <c r="K116" i="7"/>
  <c r="C116" i="7"/>
  <c r="AB115" i="7"/>
  <c r="AC115" i="7" s="1"/>
  <c r="AD115" i="7" s="1"/>
  <c r="Z115" i="7"/>
  <c r="AA115" i="7" s="1"/>
  <c r="Y115" i="7"/>
  <c r="X115" i="7"/>
  <c r="W115" i="7"/>
  <c r="S115" i="7"/>
  <c r="R115" i="7"/>
  <c r="Q115" i="7"/>
  <c r="L115" i="7"/>
  <c r="M115" i="7" s="1"/>
  <c r="K115" i="7"/>
  <c r="C115" i="7"/>
  <c r="AB114" i="7"/>
  <c r="AC114" i="7" s="1"/>
  <c r="AA114" i="7"/>
  <c r="Z114" i="7"/>
  <c r="Y114" i="7"/>
  <c r="X114" i="7"/>
  <c r="W114" i="7"/>
  <c r="R114" i="7"/>
  <c r="S114" i="7" s="1"/>
  <c r="Q114" i="7"/>
  <c r="L114" i="7"/>
  <c r="M114" i="7" s="1"/>
  <c r="K114" i="7"/>
  <c r="C114" i="7"/>
  <c r="AB113" i="7"/>
  <c r="AC113" i="7" s="1"/>
  <c r="AD113" i="7" s="1"/>
  <c r="Z113" i="7"/>
  <c r="AA113" i="7" s="1"/>
  <c r="Y113" i="7"/>
  <c r="X113" i="7"/>
  <c r="W113" i="7"/>
  <c r="S113" i="7"/>
  <c r="R113" i="7"/>
  <c r="Q113" i="7"/>
  <c r="L113" i="7"/>
  <c r="M113" i="7" s="1"/>
  <c r="K113" i="7"/>
  <c r="C113" i="7"/>
  <c r="AB112" i="7"/>
  <c r="AC112" i="7" s="1"/>
  <c r="AD112" i="7" s="1"/>
  <c r="AA112" i="7"/>
  <c r="Z112" i="7"/>
  <c r="Y112" i="7"/>
  <c r="X112" i="7"/>
  <c r="W112" i="7"/>
  <c r="R112" i="7"/>
  <c r="S112" i="7" s="1"/>
  <c r="Q112" i="7"/>
  <c r="L112" i="7"/>
  <c r="M112" i="7" s="1"/>
  <c r="K112" i="7"/>
  <c r="C112" i="7"/>
  <c r="AB111" i="7"/>
  <c r="AC111" i="7" s="1"/>
  <c r="AD111" i="7" s="1"/>
  <c r="Z111" i="7"/>
  <c r="AA111" i="7" s="1"/>
  <c r="Y111" i="7"/>
  <c r="X111" i="7"/>
  <c r="W111" i="7"/>
  <c r="S111" i="7"/>
  <c r="R111" i="7"/>
  <c r="Q111" i="7"/>
  <c r="L111" i="7"/>
  <c r="M111" i="7" s="1"/>
  <c r="K111" i="7"/>
  <c r="C111" i="7"/>
  <c r="AB110" i="7"/>
  <c r="AC110" i="7" s="1"/>
  <c r="AA110" i="7"/>
  <c r="Z110" i="7"/>
  <c r="Y110" i="7"/>
  <c r="X110" i="7"/>
  <c r="W110" i="7"/>
  <c r="R110" i="7"/>
  <c r="S110" i="7" s="1"/>
  <c r="Q110" i="7"/>
  <c r="L110" i="7"/>
  <c r="M110" i="7" s="1"/>
  <c r="K110" i="7"/>
  <c r="C110" i="7"/>
  <c r="AB109" i="7"/>
  <c r="AC109" i="7" s="1"/>
  <c r="AD109" i="7" s="1"/>
  <c r="Z109" i="7"/>
  <c r="AA109" i="7" s="1"/>
  <c r="Y109" i="7"/>
  <c r="X109" i="7"/>
  <c r="W109" i="7"/>
  <c r="S109" i="7"/>
  <c r="R109" i="7"/>
  <c r="Q109" i="7"/>
  <c r="L109" i="7"/>
  <c r="M109" i="7" s="1"/>
  <c r="K109" i="7"/>
  <c r="C109" i="7"/>
  <c r="AB108" i="7"/>
  <c r="AC108" i="7" s="1"/>
  <c r="AD108" i="7" s="1"/>
  <c r="AA108" i="7"/>
  <c r="Z108" i="7"/>
  <c r="Y108" i="7"/>
  <c r="X108" i="7"/>
  <c r="W108" i="7"/>
  <c r="R108" i="7"/>
  <c r="S108" i="7" s="1"/>
  <c r="Q108" i="7"/>
  <c r="L108" i="7"/>
  <c r="M108" i="7" s="1"/>
  <c r="K108" i="7"/>
  <c r="C108" i="7"/>
  <c r="AB107" i="7"/>
  <c r="AC107" i="7" s="1"/>
  <c r="AD107" i="7" s="1"/>
  <c r="Z107" i="7"/>
  <c r="AA107" i="7" s="1"/>
  <c r="Y107" i="7"/>
  <c r="X107" i="7"/>
  <c r="W107" i="7"/>
  <c r="S107" i="7"/>
  <c r="R107" i="7"/>
  <c r="Q107" i="7"/>
  <c r="L107" i="7"/>
  <c r="M107" i="7" s="1"/>
  <c r="K107" i="7"/>
  <c r="C107" i="7"/>
  <c r="AB106" i="7"/>
  <c r="AC106" i="7" s="1"/>
  <c r="AA106" i="7"/>
  <c r="Z106" i="7"/>
  <c r="Y106" i="7"/>
  <c r="X106" i="7"/>
  <c r="W106" i="7"/>
  <c r="R106" i="7"/>
  <c r="S106" i="7" s="1"/>
  <c r="Q106" i="7"/>
  <c r="L106" i="7"/>
  <c r="M106" i="7" s="1"/>
  <c r="K106" i="7"/>
  <c r="C106" i="7"/>
  <c r="AB105" i="7"/>
  <c r="AC105" i="7" s="1"/>
  <c r="AD105" i="7" s="1"/>
  <c r="Z105" i="7"/>
  <c r="AA105" i="7" s="1"/>
  <c r="Y105" i="7"/>
  <c r="X105" i="7"/>
  <c r="W105" i="7"/>
  <c r="S105" i="7"/>
  <c r="R105" i="7"/>
  <c r="Q105" i="7"/>
  <c r="L105" i="7"/>
  <c r="M105" i="7" s="1"/>
  <c r="K105" i="7"/>
  <c r="C105" i="7"/>
  <c r="AB104" i="7"/>
  <c r="AC104" i="7" s="1"/>
  <c r="AD104" i="7" s="1"/>
  <c r="AA104" i="7"/>
  <c r="Z104" i="7"/>
  <c r="Y104" i="7"/>
  <c r="X104" i="7"/>
  <c r="W104" i="7"/>
  <c r="R104" i="7"/>
  <c r="S104" i="7" s="1"/>
  <c r="Q104" i="7"/>
  <c r="L104" i="7"/>
  <c r="M104" i="7" s="1"/>
  <c r="K104" i="7"/>
  <c r="C104" i="7"/>
  <c r="AB103" i="7"/>
  <c r="AC103" i="7" s="1"/>
  <c r="AD103" i="7" s="1"/>
  <c r="Z103" i="7"/>
  <c r="AA103" i="7" s="1"/>
  <c r="Y103" i="7"/>
  <c r="X103" i="7"/>
  <c r="W103" i="7"/>
  <c r="S103" i="7"/>
  <c r="R103" i="7"/>
  <c r="Q103" i="7"/>
  <c r="L103" i="7"/>
  <c r="M103" i="7" s="1"/>
  <c r="K103" i="7"/>
  <c r="C103" i="7"/>
  <c r="AB102" i="7"/>
  <c r="AC102" i="7" s="1"/>
  <c r="AA102" i="7"/>
  <c r="Z102" i="7"/>
  <c r="Y102" i="7"/>
  <c r="X102" i="7"/>
  <c r="W102" i="7"/>
  <c r="R102" i="7"/>
  <c r="S102" i="7" s="1"/>
  <c r="Q102" i="7"/>
  <c r="L102" i="7"/>
  <c r="M102" i="7" s="1"/>
  <c r="K102" i="7"/>
  <c r="C102" i="7"/>
  <c r="AB101" i="7"/>
  <c r="AC101" i="7" s="1"/>
  <c r="AD101" i="7" s="1"/>
  <c r="Z101" i="7"/>
  <c r="AA101" i="7" s="1"/>
  <c r="Y101" i="7"/>
  <c r="X101" i="7"/>
  <c r="W101" i="7"/>
  <c r="S101" i="7"/>
  <c r="R101" i="7"/>
  <c r="Q101" i="7"/>
  <c r="L101" i="7"/>
  <c r="M101" i="7" s="1"/>
  <c r="K101" i="7"/>
  <c r="C101" i="7"/>
  <c r="AB100" i="7"/>
  <c r="AC100" i="7" s="1"/>
  <c r="AD100" i="7" s="1"/>
  <c r="AA100" i="7"/>
  <c r="Z100" i="7"/>
  <c r="Y100" i="7"/>
  <c r="X100" i="7"/>
  <c r="W100" i="7"/>
  <c r="R100" i="7"/>
  <c r="S100" i="7" s="1"/>
  <c r="Q100" i="7"/>
  <c r="L100" i="7"/>
  <c r="M100" i="7" s="1"/>
  <c r="K100" i="7"/>
  <c r="C100" i="7"/>
  <c r="AB99" i="7"/>
  <c r="AC99" i="7" s="1"/>
  <c r="AD99" i="7" s="1"/>
  <c r="Z99" i="7"/>
  <c r="AA99" i="7" s="1"/>
  <c r="Y99" i="7"/>
  <c r="X99" i="7"/>
  <c r="W99" i="7"/>
  <c r="S99" i="7"/>
  <c r="R99" i="7"/>
  <c r="Q99" i="7"/>
  <c r="L99" i="7"/>
  <c r="M99" i="7" s="1"/>
  <c r="K99" i="7"/>
  <c r="C99" i="7"/>
  <c r="AB98" i="7"/>
  <c r="AC98" i="7" s="1"/>
  <c r="AA98" i="7"/>
  <c r="Z98" i="7"/>
  <c r="Y98" i="7"/>
  <c r="X98" i="7"/>
  <c r="W98" i="7"/>
  <c r="R98" i="7"/>
  <c r="S98" i="7" s="1"/>
  <c r="Q98" i="7"/>
  <c r="L98" i="7"/>
  <c r="M98" i="7" s="1"/>
  <c r="K98" i="7"/>
  <c r="C98" i="7"/>
  <c r="AB97" i="7"/>
  <c r="AC97" i="7" s="1"/>
  <c r="AD97" i="7" s="1"/>
  <c r="Z97" i="7"/>
  <c r="AA97" i="7" s="1"/>
  <c r="Y97" i="7"/>
  <c r="X97" i="7"/>
  <c r="W97" i="7"/>
  <c r="S97" i="7"/>
  <c r="R97" i="7"/>
  <c r="Q97" i="7"/>
  <c r="L97" i="7"/>
  <c r="M97" i="7" s="1"/>
  <c r="K97" i="7"/>
  <c r="C97" i="7"/>
  <c r="AB96" i="7"/>
  <c r="AC96" i="7" s="1"/>
  <c r="AD96" i="7" s="1"/>
  <c r="AA96" i="7"/>
  <c r="Z96" i="7"/>
  <c r="Y96" i="7"/>
  <c r="X96" i="7"/>
  <c r="W96" i="7"/>
  <c r="R96" i="7"/>
  <c r="S96" i="7" s="1"/>
  <c r="Q96" i="7"/>
  <c r="L96" i="7"/>
  <c r="M96" i="7" s="1"/>
  <c r="K96" i="7"/>
  <c r="C96" i="7"/>
  <c r="AB95" i="7"/>
  <c r="AC95" i="7" s="1"/>
  <c r="AD95" i="7" s="1"/>
  <c r="Z95" i="7"/>
  <c r="AA95" i="7" s="1"/>
  <c r="Y95" i="7"/>
  <c r="X95" i="7"/>
  <c r="W95" i="7"/>
  <c r="S95" i="7"/>
  <c r="R95" i="7"/>
  <c r="Q95" i="7"/>
  <c r="L95" i="7"/>
  <c r="M95" i="7" s="1"/>
  <c r="K95" i="7"/>
  <c r="C95" i="7"/>
  <c r="AB94" i="7"/>
  <c r="AC94" i="7" s="1"/>
  <c r="AD94" i="7" s="1"/>
  <c r="AA94" i="7"/>
  <c r="Z94" i="7"/>
  <c r="Y94" i="7"/>
  <c r="X94" i="7"/>
  <c r="W94" i="7"/>
  <c r="R94" i="7"/>
  <c r="S94" i="7" s="1"/>
  <c r="Q94" i="7"/>
  <c r="L94" i="7"/>
  <c r="M94" i="7" s="1"/>
  <c r="K94" i="7"/>
  <c r="C94" i="7"/>
  <c r="AB93" i="7"/>
  <c r="AC93" i="7" s="1"/>
  <c r="AD93" i="7" s="1"/>
  <c r="Z93" i="7"/>
  <c r="AA93" i="7" s="1"/>
  <c r="Y93" i="7"/>
  <c r="X93" i="7"/>
  <c r="W93" i="7"/>
  <c r="S93" i="7"/>
  <c r="R93" i="7"/>
  <c r="Q93" i="7"/>
  <c r="L93" i="7"/>
  <c r="M93" i="7" s="1"/>
  <c r="K93" i="7"/>
  <c r="C93" i="7"/>
  <c r="AB92" i="7"/>
  <c r="AC92" i="7" s="1"/>
  <c r="AD92" i="7" s="1"/>
  <c r="AA92" i="7"/>
  <c r="Z92" i="7"/>
  <c r="Y92" i="7"/>
  <c r="X92" i="7"/>
  <c r="W92" i="7"/>
  <c r="R92" i="7"/>
  <c r="S92" i="7" s="1"/>
  <c r="Q92" i="7"/>
  <c r="L92" i="7"/>
  <c r="M92" i="7" s="1"/>
  <c r="K92" i="7"/>
  <c r="C92" i="7"/>
  <c r="AB91" i="7"/>
  <c r="AC91" i="7" s="1"/>
  <c r="AD91" i="7" s="1"/>
  <c r="Z91" i="7"/>
  <c r="AA91" i="7" s="1"/>
  <c r="Y91" i="7"/>
  <c r="X91" i="7"/>
  <c r="W91" i="7"/>
  <c r="S91" i="7"/>
  <c r="R91" i="7"/>
  <c r="Q91" i="7"/>
  <c r="L91" i="7"/>
  <c r="M91" i="7" s="1"/>
  <c r="K91" i="7"/>
  <c r="C91" i="7"/>
  <c r="AB90" i="7"/>
  <c r="AC90" i="7" s="1"/>
  <c r="AA90" i="7"/>
  <c r="Z90" i="7"/>
  <c r="Y90" i="7"/>
  <c r="X90" i="7"/>
  <c r="W90" i="7"/>
  <c r="R90" i="7"/>
  <c r="S90" i="7" s="1"/>
  <c r="Q90" i="7"/>
  <c r="L90" i="7"/>
  <c r="M90" i="7" s="1"/>
  <c r="K90" i="7"/>
  <c r="C90" i="7"/>
  <c r="AB89" i="7"/>
  <c r="AC89" i="7" s="1"/>
  <c r="AD89" i="7" s="1"/>
  <c r="Z89" i="7"/>
  <c r="AA89" i="7" s="1"/>
  <c r="Y89" i="7"/>
  <c r="X89" i="7"/>
  <c r="W89" i="7"/>
  <c r="S89" i="7"/>
  <c r="R89" i="7"/>
  <c r="Q89" i="7"/>
  <c r="L89" i="7"/>
  <c r="M89" i="7" s="1"/>
  <c r="K89" i="7"/>
  <c r="C89" i="7"/>
  <c r="AB88" i="7"/>
  <c r="AC88" i="7" s="1"/>
  <c r="AD88" i="7" s="1"/>
  <c r="AA88" i="7"/>
  <c r="Z88" i="7"/>
  <c r="Y88" i="7"/>
  <c r="X88" i="7"/>
  <c r="W88" i="7"/>
  <c r="R88" i="7"/>
  <c r="S88" i="7" s="1"/>
  <c r="Q88" i="7"/>
  <c r="L88" i="7"/>
  <c r="M88" i="7" s="1"/>
  <c r="K88" i="7"/>
  <c r="C88" i="7"/>
  <c r="AB87" i="7"/>
  <c r="AC87" i="7" s="1"/>
  <c r="AD87" i="7" s="1"/>
  <c r="Z87" i="7"/>
  <c r="AA87" i="7" s="1"/>
  <c r="Y87" i="7"/>
  <c r="X87" i="7"/>
  <c r="W87" i="7"/>
  <c r="S87" i="7"/>
  <c r="R87" i="7"/>
  <c r="Q87" i="7"/>
  <c r="L87" i="7"/>
  <c r="M87" i="7" s="1"/>
  <c r="K87" i="7"/>
  <c r="C87" i="7"/>
  <c r="AB86" i="7"/>
  <c r="AC86" i="7" s="1"/>
  <c r="AA86" i="7"/>
  <c r="Z86" i="7"/>
  <c r="Y86" i="7"/>
  <c r="X86" i="7"/>
  <c r="W86" i="7"/>
  <c r="R86" i="7"/>
  <c r="S86" i="7" s="1"/>
  <c r="Q86" i="7"/>
  <c r="L86" i="7"/>
  <c r="M86" i="7" s="1"/>
  <c r="K86" i="7"/>
  <c r="C86" i="7"/>
  <c r="AB85" i="7"/>
  <c r="AC85" i="7" s="1"/>
  <c r="AD85" i="7" s="1"/>
  <c r="Z85" i="7"/>
  <c r="AA85" i="7" s="1"/>
  <c r="Y85" i="7"/>
  <c r="X85" i="7"/>
  <c r="W85" i="7"/>
  <c r="S85" i="7"/>
  <c r="R85" i="7"/>
  <c r="Q85" i="7"/>
  <c r="L85" i="7"/>
  <c r="M85" i="7" s="1"/>
  <c r="K85" i="7"/>
  <c r="C85" i="7"/>
  <c r="AB84" i="7"/>
  <c r="AC84" i="7" s="1"/>
  <c r="AD84" i="7" s="1"/>
  <c r="AA84" i="7"/>
  <c r="Z84" i="7"/>
  <c r="Y84" i="7"/>
  <c r="X84" i="7"/>
  <c r="W84" i="7"/>
  <c r="R84" i="7"/>
  <c r="S84" i="7" s="1"/>
  <c r="Q84" i="7"/>
  <c r="L84" i="7"/>
  <c r="M84" i="7" s="1"/>
  <c r="K84" i="7"/>
  <c r="C84" i="7"/>
  <c r="AB83" i="7"/>
  <c r="AC83" i="7" s="1"/>
  <c r="AD83" i="7" s="1"/>
  <c r="Z83" i="7"/>
  <c r="AA83" i="7" s="1"/>
  <c r="Y83" i="7"/>
  <c r="X83" i="7"/>
  <c r="W83" i="7"/>
  <c r="S83" i="7"/>
  <c r="R83" i="7"/>
  <c r="Q83" i="7"/>
  <c r="L83" i="7"/>
  <c r="M83" i="7" s="1"/>
  <c r="K83" i="7"/>
  <c r="C83" i="7"/>
  <c r="AB82" i="7"/>
  <c r="AC82" i="7" s="1"/>
  <c r="AA82" i="7"/>
  <c r="Z82" i="7"/>
  <c r="Y82" i="7"/>
  <c r="X82" i="7"/>
  <c r="W82" i="7"/>
  <c r="R82" i="7"/>
  <c r="S82" i="7" s="1"/>
  <c r="Q82" i="7"/>
  <c r="L82" i="7"/>
  <c r="M82" i="7" s="1"/>
  <c r="K82" i="7"/>
  <c r="C82" i="7"/>
  <c r="AB81" i="7"/>
  <c r="AC81" i="7" s="1"/>
  <c r="AD81" i="7" s="1"/>
  <c r="Z81" i="7"/>
  <c r="AA81" i="7" s="1"/>
  <c r="Y81" i="7"/>
  <c r="X81" i="7"/>
  <c r="W81" i="7"/>
  <c r="S81" i="7"/>
  <c r="R81" i="7"/>
  <c r="Q81" i="7"/>
  <c r="L81" i="7"/>
  <c r="M81" i="7" s="1"/>
  <c r="K81" i="7"/>
  <c r="C81" i="7"/>
  <c r="AB80" i="7"/>
  <c r="AC80" i="7" s="1"/>
  <c r="AD80" i="7" s="1"/>
  <c r="AA80" i="7"/>
  <c r="Z80" i="7"/>
  <c r="Y80" i="7"/>
  <c r="X80" i="7"/>
  <c r="W80" i="7"/>
  <c r="R80" i="7"/>
  <c r="S80" i="7" s="1"/>
  <c r="Q80" i="7"/>
  <c r="L80" i="7"/>
  <c r="M80" i="7" s="1"/>
  <c r="K80" i="7"/>
  <c r="C80" i="7"/>
  <c r="AB79" i="7"/>
  <c r="AC79" i="7" s="1"/>
  <c r="AD79" i="7" s="1"/>
  <c r="Z79" i="7"/>
  <c r="AA79" i="7" s="1"/>
  <c r="Y79" i="7"/>
  <c r="X79" i="7"/>
  <c r="W79" i="7"/>
  <c r="S79" i="7"/>
  <c r="R79" i="7"/>
  <c r="Q79" i="7"/>
  <c r="L79" i="7"/>
  <c r="M79" i="7" s="1"/>
  <c r="K79" i="7"/>
  <c r="C79" i="7"/>
  <c r="AB78" i="7"/>
  <c r="AC78" i="7" s="1"/>
  <c r="AA78" i="7"/>
  <c r="Z78" i="7"/>
  <c r="Y78" i="7"/>
  <c r="X78" i="7"/>
  <c r="W78" i="7"/>
  <c r="R78" i="7"/>
  <c r="S78" i="7" s="1"/>
  <c r="Q78" i="7"/>
  <c r="L78" i="7"/>
  <c r="M78" i="7" s="1"/>
  <c r="K78" i="7"/>
  <c r="C78" i="7"/>
  <c r="AB77" i="7"/>
  <c r="AC77" i="7" s="1"/>
  <c r="AD77" i="7" s="1"/>
  <c r="Z77" i="7"/>
  <c r="AA77" i="7" s="1"/>
  <c r="Y77" i="7"/>
  <c r="X77" i="7"/>
  <c r="W77" i="7"/>
  <c r="S77" i="7"/>
  <c r="R77" i="7"/>
  <c r="Q77" i="7"/>
  <c r="L77" i="7"/>
  <c r="M77" i="7" s="1"/>
  <c r="K77" i="7"/>
  <c r="C77" i="7"/>
  <c r="AB76" i="7"/>
  <c r="AC76" i="7" s="1"/>
  <c r="AD76" i="7" s="1"/>
  <c r="AA76" i="7"/>
  <c r="Z76" i="7"/>
  <c r="Y76" i="7"/>
  <c r="X76" i="7"/>
  <c r="W76" i="7"/>
  <c r="R76" i="7"/>
  <c r="S76" i="7" s="1"/>
  <c r="Q76" i="7"/>
  <c r="L76" i="7"/>
  <c r="M76" i="7" s="1"/>
  <c r="K76" i="7"/>
  <c r="C76" i="7"/>
  <c r="AB75" i="7"/>
  <c r="AC75" i="7" s="1"/>
  <c r="AD75" i="7" s="1"/>
  <c r="Z75" i="7"/>
  <c r="AA75" i="7" s="1"/>
  <c r="Y75" i="7"/>
  <c r="X75" i="7"/>
  <c r="W75" i="7"/>
  <c r="S75" i="7"/>
  <c r="R75" i="7"/>
  <c r="Q75" i="7"/>
  <c r="L75" i="7"/>
  <c r="M75" i="7" s="1"/>
  <c r="K75" i="7"/>
  <c r="C75" i="7"/>
  <c r="AB74" i="7"/>
  <c r="AC74" i="7" s="1"/>
  <c r="AA74" i="7"/>
  <c r="Z74" i="7"/>
  <c r="Y74" i="7"/>
  <c r="X74" i="7"/>
  <c r="W74" i="7"/>
  <c r="R74" i="7"/>
  <c r="S74" i="7" s="1"/>
  <c r="Q74" i="7"/>
  <c r="L74" i="7"/>
  <c r="M74" i="7" s="1"/>
  <c r="K74" i="7"/>
  <c r="C74" i="7"/>
  <c r="AB73" i="7"/>
  <c r="AC73" i="7" s="1"/>
  <c r="AD73" i="7" s="1"/>
  <c r="Z73" i="7"/>
  <c r="AA73" i="7" s="1"/>
  <c r="Y73" i="7"/>
  <c r="X73" i="7"/>
  <c r="W73" i="7"/>
  <c r="S73" i="7"/>
  <c r="R73" i="7"/>
  <c r="Q73" i="7"/>
  <c r="L73" i="7"/>
  <c r="M73" i="7" s="1"/>
  <c r="K73" i="7"/>
  <c r="C73" i="7"/>
  <c r="AB72" i="7"/>
  <c r="AC72" i="7" s="1"/>
  <c r="AD72" i="7" s="1"/>
  <c r="AA72" i="7"/>
  <c r="Z72" i="7"/>
  <c r="Y72" i="7"/>
  <c r="X72" i="7"/>
  <c r="W72" i="7"/>
  <c r="R72" i="7"/>
  <c r="S72" i="7" s="1"/>
  <c r="Q72" i="7"/>
  <c r="L72" i="7"/>
  <c r="M72" i="7" s="1"/>
  <c r="K72" i="7"/>
  <c r="C72" i="7"/>
  <c r="AB71" i="7"/>
  <c r="AC71" i="7" s="1"/>
  <c r="AD71" i="7" s="1"/>
  <c r="Z71" i="7"/>
  <c r="AA71" i="7" s="1"/>
  <c r="Y71" i="7"/>
  <c r="X71" i="7"/>
  <c r="W71" i="7"/>
  <c r="R71" i="7"/>
  <c r="S71" i="7" s="1"/>
  <c r="Q71" i="7"/>
  <c r="L71" i="7"/>
  <c r="M71" i="7" s="1"/>
  <c r="K71" i="7"/>
  <c r="C71" i="7"/>
  <c r="AB70" i="7"/>
  <c r="AC70" i="7" s="1"/>
  <c r="AD70" i="7" s="1"/>
  <c r="AA70" i="7"/>
  <c r="Z70" i="7"/>
  <c r="Y70" i="7"/>
  <c r="X70" i="7"/>
  <c r="W70" i="7"/>
  <c r="R70" i="7"/>
  <c r="S70" i="7" s="1"/>
  <c r="Q70" i="7"/>
  <c r="L70" i="7"/>
  <c r="M70" i="7" s="1"/>
  <c r="K70" i="7"/>
  <c r="C70" i="7"/>
  <c r="AB69" i="7"/>
  <c r="AC69" i="7" s="1"/>
  <c r="AD69" i="7" s="1"/>
  <c r="Z69" i="7"/>
  <c r="AA69" i="7" s="1"/>
  <c r="Y69" i="7"/>
  <c r="X69" i="7"/>
  <c r="W69" i="7"/>
  <c r="S69" i="7"/>
  <c r="R69" i="7"/>
  <c r="Q69" i="7"/>
  <c r="L69" i="7"/>
  <c r="M69" i="7" s="1"/>
  <c r="K69" i="7"/>
  <c r="C69" i="7"/>
  <c r="AB67" i="7"/>
  <c r="AC67" i="7" s="1"/>
  <c r="AD67" i="7" s="1"/>
  <c r="AA67" i="7"/>
  <c r="Z67" i="7"/>
  <c r="Y67" i="7"/>
  <c r="X67" i="7"/>
  <c r="W67" i="7"/>
  <c r="R67" i="7"/>
  <c r="S67" i="7" s="1"/>
  <c r="Q67" i="7"/>
  <c r="L67" i="7"/>
  <c r="M67" i="7" s="1"/>
  <c r="K67" i="7"/>
  <c r="C67" i="7"/>
  <c r="AB66" i="7"/>
  <c r="AC66" i="7" s="1"/>
  <c r="AD66" i="7" s="1"/>
  <c r="Z66" i="7"/>
  <c r="AA66" i="7" s="1"/>
  <c r="Y66" i="7"/>
  <c r="X66" i="7"/>
  <c r="W66" i="7"/>
  <c r="R66" i="7"/>
  <c r="S66" i="7" s="1"/>
  <c r="Q66" i="7"/>
  <c r="L66" i="7"/>
  <c r="M66" i="7" s="1"/>
  <c r="K66" i="7"/>
  <c r="C66" i="7"/>
  <c r="AB65" i="7"/>
  <c r="AC65" i="7" s="1"/>
  <c r="AD65" i="7" s="1"/>
  <c r="AA65" i="7"/>
  <c r="Z65" i="7"/>
  <c r="Y65" i="7"/>
  <c r="X65" i="7"/>
  <c r="W65" i="7"/>
  <c r="R65" i="7"/>
  <c r="S65" i="7" s="1"/>
  <c r="Q65" i="7"/>
  <c r="L65" i="7"/>
  <c r="M65" i="7" s="1"/>
  <c r="K65" i="7"/>
  <c r="C65" i="7"/>
  <c r="AB64" i="7"/>
  <c r="AC64" i="7" s="1"/>
  <c r="AD64" i="7" s="1"/>
  <c r="Z64" i="7"/>
  <c r="AA64" i="7" s="1"/>
  <c r="Y64" i="7"/>
  <c r="X64" i="7"/>
  <c r="W64" i="7"/>
  <c r="S64" i="7"/>
  <c r="R64" i="7"/>
  <c r="Q64" i="7"/>
  <c r="L64" i="7"/>
  <c r="M64" i="7" s="1"/>
  <c r="K64" i="7"/>
  <c r="C64" i="7"/>
  <c r="AB63" i="7"/>
  <c r="AC63" i="7" s="1"/>
  <c r="AD63" i="7" s="1"/>
  <c r="AA63" i="7"/>
  <c r="Z63" i="7"/>
  <c r="Y63" i="7"/>
  <c r="X63" i="7"/>
  <c r="W63" i="7"/>
  <c r="R63" i="7"/>
  <c r="S63" i="7" s="1"/>
  <c r="Q63" i="7"/>
  <c r="L63" i="7"/>
  <c r="M63" i="7" s="1"/>
  <c r="K63" i="7"/>
  <c r="C63" i="7"/>
  <c r="AB62" i="7"/>
  <c r="AC62" i="7" s="1"/>
  <c r="AD62" i="7" s="1"/>
  <c r="Z62" i="7"/>
  <c r="AA62" i="7" s="1"/>
  <c r="Y62" i="7"/>
  <c r="X62" i="7"/>
  <c r="W62" i="7"/>
  <c r="R62" i="7"/>
  <c r="S62" i="7" s="1"/>
  <c r="Q62" i="7"/>
  <c r="L62" i="7"/>
  <c r="M62" i="7" s="1"/>
  <c r="K62" i="7"/>
  <c r="C62" i="7"/>
  <c r="AB61" i="7"/>
  <c r="AC61" i="7" s="1"/>
  <c r="AD61" i="7" s="1"/>
  <c r="AA61" i="7"/>
  <c r="Z61" i="7"/>
  <c r="Y61" i="7"/>
  <c r="X61" i="7"/>
  <c r="W61" i="7"/>
  <c r="R61" i="7"/>
  <c r="S61" i="7" s="1"/>
  <c r="Q61" i="7"/>
  <c r="L61" i="7"/>
  <c r="M61" i="7" s="1"/>
  <c r="K61" i="7"/>
  <c r="C61" i="7"/>
  <c r="AB60" i="7"/>
  <c r="AC60" i="7" s="1"/>
  <c r="AD60" i="7" s="1"/>
  <c r="Z60" i="7"/>
  <c r="AA60" i="7" s="1"/>
  <c r="Y60" i="7"/>
  <c r="X60" i="7"/>
  <c r="W60" i="7"/>
  <c r="S60" i="7"/>
  <c r="R60" i="7"/>
  <c r="Q60" i="7"/>
  <c r="L60" i="7"/>
  <c r="M60" i="7" s="1"/>
  <c r="K60" i="7"/>
  <c r="C60" i="7"/>
  <c r="AB59" i="7"/>
  <c r="AC59" i="7" s="1"/>
  <c r="AD59" i="7" s="1"/>
  <c r="AA59" i="7"/>
  <c r="Z59" i="7"/>
  <c r="Y59" i="7"/>
  <c r="X59" i="7"/>
  <c r="W59" i="7"/>
  <c r="R59" i="7"/>
  <c r="S59" i="7" s="1"/>
  <c r="Q59" i="7"/>
  <c r="L59" i="7"/>
  <c r="M59" i="7" s="1"/>
  <c r="K59" i="7"/>
  <c r="C59" i="7"/>
  <c r="AB58" i="7"/>
  <c r="AC58" i="7" s="1"/>
  <c r="AD58" i="7" s="1"/>
  <c r="Z58" i="7"/>
  <c r="AA58" i="7" s="1"/>
  <c r="Y58" i="7"/>
  <c r="X58" i="7"/>
  <c r="W58" i="7"/>
  <c r="R58" i="7"/>
  <c r="S58" i="7" s="1"/>
  <c r="Q58" i="7"/>
  <c r="L58" i="7"/>
  <c r="M58" i="7" s="1"/>
  <c r="K58" i="7"/>
  <c r="C58" i="7"/>
  <c r="AB57" i="7"/>
  <c r="AC57" i="7" s="1"/>
  <c r="AD57" i="7" s="1"/>
  <c r="AA57" i="7"/>
  <c r="Z57" i="7"/>
  <c r="Y57" i="7"/>
  <c r="X57" i="7"/>
  <c r="W57" i="7"/>
  <c r="R57" i="7"/>
  <c r="S57" i="7" s="1"/>
  <c r="Q57" i="7"/>
  <c r="L57" i="7"/>
  <c r="M57" i="7" s="1"/>
  <c r="K57" i="7"/>
  <c r="C57" i="7"/>
  <c r="AB56" i="7"/>
  <c r="AC56" i="7" s="1"/>
  <c r="AD56" i="7" s="1"/>
  <c r="Z56" i="7"/>
  <c r="AA56" i="7" s="1"/>
  <c r="Y56" i="7"/>
  <c r="X56" i="7"/>
  <c r="W56" i="7"/>
  <c r="S56" i="7"/>
  <c r="R56" i="7"/>
  <c r="Q56" i="7"/>
  <c r="L56" i="7"/>
  <c r="M56" i="7" s="1"/>
  <c r="K56" i="7"/>
  <c r="C56" i="7"/>
  <c r="AB55" i="7"/>
  <c r="AC55" i="7" s="1"/>
  <c r="AD55" i="7" s="1"/>
  <c r="AA55" i="7"/>
  <c r="Z55" i="7"/>
  <c r="Y55" i="7"/>
  <c r="X55" i="7"/>
  <c r="W55" i="7"/>
  <c r="R55" i="7"/>
  <c r="S55" i="7" s="1"/>
  <c r="Q55" i="7"/>
  <c r="L55" i="7"/>
  <c r="M55" i="7" s="1"/>
  <c r="K55" i="7"/>
  <c r="C55" i="7"/>
  <c r="AB54" i="7"/>
  <c r="AC54" i="7" s="1"/>
  <c r="AD54" i="7" s="1"/>
  <c r="Z54" i="7"/>
  <c r="AA54" i="7" s="1"/>
  <c r="Y54" i="7"/>
  <c r="X54" i="7"/>
  <c r="W54" i="7"/>
  <c r="R54" i="7"/>
  <c r="S54" i="7" s="1"/>
  <c r="Q54" i="7"/>
  <c r="L54" i="7"/>
  <c r="M54" i="7" s="1"/>
  <c r="K54" i="7"/>
  <c r="C54" i="7"/>
  <c r="AB53" i="7"/>
  <c r="AC53" i="7" s="1"/>
  <c r="AD53" i="7" s="1"/>
  <c r="AA53" i="7"/>
  <c r="Z53" i="7"/>
  <c r="Y53" i="7"/>
  <c r="X53" i="7"/>
  <c r="W53" i="7"/>
  <c r="R53" i="7"/>
  <c r="S53" i="7" s="1"/>
  <c r="Q53" i="7"/>
  <c r="L53" i="7"/>
  <c r="M53" i="7" s="1"/>
  <c r="K53" i="7"/>
  <c r="C53" i="7"/>
  <c r="AB52" i="7"/>
  <c r="AC52" i="7" s="1"/>
  <c r="AD52" i="7" s="1"/>
  <c r="Z52" i="7"/>
  <c r="AA52" i="7" s="1"/>
  <c r="Y52" i="7"/>
  <c r="X52" i="7"/>
  <c r="W52" i="7"/>
  <c r="S52" i="7"/>
  <c r="R52" i="7"/>
  <c r="Q52" i="7"/>
  <c r="L52" i="7"/>
  <c r="M52" i="7" s="1"/>
  <c r="K52" i="7"/>
  <c r="C52" i="7"/>
  <c r="AB51" i="7"/>
  <c r="AC51" i="7" s="1"/>
  <c r="AD51" i="7" s="1"/>
  <c r="AA51" i="7"/>
  <c r="Z51" i="7"/>
  <c r="Y51" i="7"/>
  <c r="X51" i="7"/>
  <c r="W51" i="7"/>
  <c r="R51" i="7"/>
  <c r="S51" i="7" s="1"/>
  <c r="Q51" i="7"/>
  <c r="L51" i="7"/>
  <c r="M51" i="7" s="1"/>
  <c r="K51" i="7"/>
  <c r="C51" i="7"/>
  <c r="AB50" i="7"/>
  <c r="AC50" i="7" s="1"/>
  <c r="AD50" i="7" s="1"/>
  <c r="Z50" i="7"/>
  <c r="AA50" i="7" s="1"/>
  <c r="Y50" i="7"/>
  <c r="X50" i="7"/>
  <c r="W50" i="7"/>
  <c r="R50" i="7"/>
  <c r="S50" i="7" s="1"/>
  <c r="Q50" i="7"/>
  <c r="L50" i="7"/>
  <c r="M50" i="7" s="1"/>
  <c r="K50" i="7"/>
  <c r="C50" i="7"/>
  <c r="AB49" i="7"/>
  <c r="AC49" i="7" s="1"/>
  <c r="AA49" i="7"/>
  <c r="Z49" i="7"/>
  <c r="Y49" i="7"/>
  <c r="X49" i="7"/>
  <c r="W49" i="7"/>
  <c r="R49" i="7"/>
  <c r="S49" i="7" s="1"/>
  <c r="Q49" i="7"/>
  <c r="L49" i="7"/>
  <c r="M49" i="7" s="1"/>
  <c r="K49" i="7"/>
  <c r="C49" i="7"/>
  <c r="AB48" i="7"/>
  <c r="AC48" i="7" s="1"/>
  <c r="AD48" i="7" s="1"/>
  <c r="Z48" i="7"/>
  <c r="AA48" i="7" s="1"/>
  <c r="Y48" i="7"/>
  <c r="X48" i="7"/>
  <c r="W48" i="7"/>
  <c r="S48" i="7"/>
  <c r="R48" i="7"/>
  <c r="Q48" i="7"/>
  <c r="L48" i="7"/>
  <c r="M48" i="7" s="1"/>
  <c r="K48" i="7"/>
  <c r="C48" i="7"/>
  <c r="AB47" i="7"/>
  <c r="AC47" i="7" s="1"/>
  <c r="AA47" i="7"/>
  <c r="Z47" i="7"/>
  <c r="Y47" i="7"/>
  <c r="X47" i="7"/>
  <c r="W47" i="7"/>
  <c r="R47" i="7"/>
  <c r="S47" i="7" s="1"/>
  <c r="Q47" i="7"/>
  <c r="L47" i="7"/>
  <c r="M47" i="7" s="1"/>
  <c r="K47" i="7"/>
  <c r="C47" i="7"/>
  <c r="AB46" i="7"/>
  <c r="AC46" i="7" s="1"/>
  <c r="AD46" i="7" s="1"/>
  <c r="Z46" i="7"/>
  <c r="AA46" i="7" s="1"/>
  <c r="Y46" i="7"/>
  <c r="X46" i="7"/>
  <c r="W46" i="7"/>
  <c r="R46" i="7"/>
  <c r="S46" i="7" s="1"/>
  <c r="Q46" i="7"/>
  <c r="L46" i="7"/>
  <c r="M46" i="7" s="1"/>
  <c r="K46" i="7"/>
  <c r="C46" i="7"/>
  <c r="AB45" i="7"/>
  <c r="AC45" i="7" s="1"/>
  <c r="AA45" i="7"/>
  <c r="Z45" i="7"/>
  <c r="Y45" i="7"/>
  <c r="X45" i="7"/>
  <c r="W45" i="7"/>
  <c r="R45" i="7"/>
  <c r="S45" i="7" s="1"/>
  <c r="Q45" i="7"/>
  <c r="L45" i="7"/>
  <c r="M45" i="7" s="1"/>
  <c r="K45" i="7"/>
  <c r="C45" i="7"/>
  <c r="AB44" i="7"/>
  <c r="AC44" i="7" s="1"/>
  <c r="AD44" i="7" s="1"/>
  <c r="Z44" i="7"/>
  <c r="AA44" i="7" s="1"/>
  <c r="Y44" i="7"/>
  <c r="X44" i="7"/>
  <c r="W44" i="7"/>
  <c r="S44" i="7"/>
  <c r="R44" i="7"/>
  <c r="Q44" i="7"/>
  <c r="L44" i="7"/>
  <c r="M44" i="7" s="1"/>
  <c r="K44" i="7"/>
  <c r="C44" i="7"/>
  <c r="AB43" i="7"/>
  <c r="AC43" i="7" s="1"/>
  <c r="AA43" i="7"/>
  <c r="Z43" i="7"/>
  <c r="Y43" i="7"/>
  <c r="X43" i="7"/>
  <c r="W43" i="7"/>
  <c r="R43" i="7"/>
  <c r="S43" i="7" s="1"/>
  <c r="Q43" i="7"/>
  <c r="L43" i="7"/>
  <c r="M43" i="7" s="1"/>
  <c r="K43" i="7"/>
  <c r="C43" i="7"/>
  <c r="AB42" i="7"/>
  <c r="AC42" i="7" s="1"/>
  <c r="AD42" i="7" s="1"/>
  <c r="Z42" i="7"/>
  <c r="AA42" i="7" s="1"/>
  <c r="Y42" i="7"/>
  <c r="X42" i="7"/>
  <c r="W42" i="7"/>
  <c r="R42" i="7"/>
  <c r="S42" i="7" s="1"/>
  <c r="Q42" i="7"/>
  <c r="L42" i="7"/>
  <c r="M42" i="7" s="1"/>
  <c r="K42" i="7"/>
  <c r="C42" i="7"/>
  <c r="AB41" i="7"/>
  <c r="AC41" i="7" s="1"/>
  <c r="AD41" i="7" s="1"/>
  <c r="AA41" i="7"/>
  <c r="Z41" i="7"/>
  <c r="Y41" i="7"/>
  <c r="X41" i="7"/>
  <c r="W41" i="7"/>
  <c r="R41" i="7"/>
  <c r="S41" i="7" s="1"/>
  <c r="Q41" i="7"/>
  <c r="L41" i="7"/>
  <c r="M41" i="7" s="1"/>
  <c r="K41" i="7"/>
  <c r="C41" i="7"/>
  <c r="AB40" i="7"/>
  <c r="AC40" i="7" s="1"/>
  <c r="AD40" i="7" s="1"/>
  <c r="Z40" i="7"/>
  <c r="AA40" i="7" s="1"/>
  <c r="Y40" i="7"/>
  <c r="X40" i="7"/>
  <c r="W40" i="7"/>
  <c r="S40" i="7"/>
  <c r="R40" i="7"/>
  <c r="Q40" i="7"/>
  <c r="L40" i="7"/>
  <c r="M40" i="7" s="1"/>
  <c r="K40" i="7"/>
  <c r="C40" i="7"/>
  <c r="AB39" i="7"/>
  <c r="AC39" i="7" s="1"/>
  <c r="AA39" i="7"/>
  <c r="Z39" i="7"/>
  <c r="Y39" i="7"/>
  <c r="X39" i="7"/>
  <c r="W39" i="7"/>
  <c r="R39" i="7"/>
  <c r="S39" i="7" s="1"/>
  <c r="Q39" i="7"/>
  <c r="L39" i="7"/>
  <c r="M39" i="7" s="1"/>
  <c r="K39" i="7"/>
  <c r="C39" i="7"/>
  <c r="AB38" i="7"/>
  <c r="AC38" i="7" s="1"/>
  <c r="AD38" i="7" s="1"/>
  <c r="Z38" i="7"/>
  <c r="AA38" i="7" s="1"/>
  <c r="Y38" i="7"/>
  <c r="X38" i="7"/>
  <c r="W38" i="7"/>
  <c r="R38" i="7"/>
  <c r="S38" i="7" s="1"/>
  <c r="Q38" i="7"/>
  <c r="L38" i="7"/>
  <c r="M38" i="7" s="1"/>
  <c r="K38" i="7"/>
  <c r="C38" i="7"/>
  <c r="AB37" i="7"/>
  <c r="AC37" i="7" s="1"/>
  <c r="AA37" i="7"/>
  <c r="Z37" i="7"/>
  <c r="Y37" i="7"/>
  <c r="X37" i="7"/>
  <c r="W37" i="7"/>
  <c r="R37" i="7"/>
  <c r="S37" i="7" s="1"/>
  <c r="Q37" i="7"/>
  <c r="L37" i="7"/>
  <c r="M37" i="7" s="1"/>
  <c r="K37" i="7"/>
  <c r="C37" i="7"/>
  <c r="AB36" i="7"/>
  <c r="AC36" i="7" s="1"/>
  <c r="AD36" i="7" s="1"/>
  <c r="Z36" i="7"/>
  <c r="AA36" i="7" s="1"/>
  <c r="Y36" i="7"/>
  <c r="X36" i="7"/>
  <c r="W36" i="7"/>
  <c r="S36" i="7"/>
  <c r="R36" i="7"/>
  <c r="Q36" i="7"/>
  <c r="L36" i="7"/>
  <c r="M36" i="7" s="1"/>
  <c r="K36" i="7"/>
  <c r="C36" i="7"/>
  <c r="AB35" i="7"/>
  <c r="AC35" i="7" s="1"/>
  <c r="AA35" i="7"/>
  <c r="Z35" i="7"/>
  <c r="Y35" i="7"/>
  <c r="X35" i="7"/>
  <c r="W35" i="7"/>
  <c r="R35" i="7"/>
  <c r="S35" i="7" s="1"/>
  <c r="Q35" i="7"/>
  <c r="L35" i="7"/>
  <c r="M35" i="7" s="1"/>
  <c r="K35" i="7"/>
  <c r="C35" i="7"/>
  <c r="AB34" i="7"/>
  <c r="AC34" i="7" s="1"/>
  <c r="AD34" i="7" s="1"/>
  <c r="Z34" i="7"/>
  <c r="AA34" i="7" s="1"/>
  <c r="Y34" i="7"/>
  <c r="X34" i="7"/>
  <c r="W34" i="7"/>
  <c r="R34" i="7"/>
  <c r="S34" i="7" s="1"/>
  <c r="Q34" i="7"/>
  <c r="L34" i="7"/>
  <c r="M34" i="7" s="1"/>
  <c r="K34" i="7"/>
  <c r="C34" i="7"/>
  <c r="AB33" i="7"/>
  <c r="AC33" i="7" s="1"/>
  <c r="AA33" i="7"/>
  <c r="Z33" i="7"/>
  <c r="Y33" i="7"/>
  <c r="X33" i="7"/>
  <c r="W33" i="7"/>
  <c r="R33" i="7"/>
  <c r="S33" i="7" s="1"/>
  <c r="Q33" i="7"/>
  <c r="L33" i="7"/>
  <c r="M33" i="7" s="1"/>
  <c r="K33" i="7"/>
  <c r="C33" i="7"/>
  <c r="AB32" i="7"/>
  <c r="AC32" i="7" s="1"/>
  <c r="AD32" i="7" s="1"/>
  <c r="Z32" i="7"/>
  <c r="AA32" i="7" s="1"/>
  <c r="Y32" i="7"/>
  <c r="X32" i="7"/>
  <c r="W32" i="7"/>
  <c r="S32" i="7"/>
  <c r="R32" i="7"/>
  <c r="Q32" i="7"/>
  <c r="L32" i="7"/>
  <c r="M32" i="7" s="1"/>
  <c r="K32" i="7"/>
  <c r="C32" i="7"/>
  <c r="AB31" i="7"/>
  <c r="AC31" i="7" s="1"/>
  <c r="AA31" i="7"/>
  <c r="Z31" i="7"/>
  <c r="Y31" i="7"/>
  <c r="X31" i="7"/>
  <c r="W31" i="7"/>
  <c r="R31" i="7"/>
  <c r="S31" i="7" s="1"/>
  <c r="Q31" i="7"/>
  <c r="L31" i="7"/>
  <c r="M31" i="7" s="1"/>
  <c r="K31" i="7"/>
  <c r="C31" i="7"/>
  <c r="AB30" i="7"/>
  <c r="AC30" i="7" s="1"/>
  <c r="AD30" i="7" s="1"/>
  <c r="Z30" i="7"/>
  <c r="AA30" i="7" s="1"/>
  <c r="Y30" i="7"/>
  <c r="X30" i="7"/>
  <c r="W30" i="7"/>
  <c r="R30" i="7"/>
  <c r="S30" i="7" s="1"/>
  <c r="Q30" i="7"/>
  <c r="L30" i="7"/>
  <c r="M30" i="7" s="1"/>
  <c r="K30" i="7"/>
  <c r="C30" i="7"/>
  <c r="AB29" i="7"/>
  <c r="AC29" i="7" s="1"/>
  <c r="AA29" i="7"/>
  <c r="Z29" i="7"/>
  <c r="Y29" i="7"/>
  <c r="X29" i="7"/>
  <c r="W29" i="7"/>
  <c r="R29" i="7"/>
  <c r="S29" i="7" s="1"/>
  <c r="Q29" i="7"/>
  <c r="L29" i="7"/>
  <c r="M29" i="7" s="1"/>
  <c r="K29" i="7"/>
  <c r="C29" i="7"/>
  <c r="AB28" i="7"/>
  <c r="AC28" i="7" s="1"/>
  <c r="AD28" i="7" s="1"/>
  <c r="Z28" i="7"/>
  <c r="AA28" i="7" s="1"/>
  <c r="Y28" i="7"/>
  <c r="X28" i="7"/>
  <c r="W28" i="7"/>
  <c r="S28" i="7"/>
  <c r="R28" i="7"/>
  <c r="Q28" i="7"/>
  <c r="L28" i="7"/>
  <c r="M28" i="7" s="1"/>
  <c r="K28" i="7"/>
  <c r="C28" i="7"/>
  <c r="AB27" i="7"/>
  <c r="AC27" i="7" s="1"/>
  <c r="AD27" i="7" s="1"/>
  <c r="AA27" i="7"/>
  <c r="Z27" i="7"/>
  <c r="Y27" i="7"/>
  <c r="X27" i="7"/>
  <c r="W27" i="7"/>
  <c r="R27" i="7"/>
  <c r="S27" i="7" s="1"/>
  <c r="Q27" i="7"/>
  <c r="L27" i="7"/>
  <c r="M27" i="7" s="1"/>
  <c r="K27" i="7"/>
  <c r="C27" i="7"/>
  <c r="AB26" i="7"/>
  <c r="AC26" i="7" s="1"/>
  <c r="AD26" i="7" s="1"/>
  <c r="Z26" i="7"/>
  <c r="AA26" i="7" s="1"/>
  <c r="Y26" i="7"/>
  <c r="X26" i="7"/>
  <c r="W26" i="7"/>
  <c r="R26" i="7"/>
  <c r="S26" i="7" s="1"/>
  <c r="Q26" i="7"/>
  <c r="L26" i="7"/>
  <c r="M26" i="7" s="1"/>
  <c r="K26" i="7"/>
  <c r="C26" i="7"/>
  <c r="AB25" i="7"/>
  <c r="AC25" i="7" s="1"/>
  <c r="AD25" i="7" s="1"/>
  <c r="AA25" i="7"/>
  <c r="Z25" i="7"/>
  <c r="Y25" i="7"/>
  <c r="X25" i="7"/>
  <c r="W25" i="7"/>
  <c r="R25" i="7"/>
  <c r="S25" i="7" s="1"/>
  <c r="Q25" i="7"/>
  <c r="L25" i="7"/>
  <c r="M25" i="7" s="1"/>
  <c r="K25" i="7"/>
  <c r="C25" i="7"/>
  <c r="AB24" i="7"/>
  <c r="AC24" i="7" s="1"/>
  <c r="AD24" i="7" s="1"/>
  <c r="Z24" i="7"/>
  <c r="AA24" i="7" s="1"/>
  <c r="Y24" i="7"/>
  <c r="X24" i="7"/>
  <c r="W24" i="7"/>
  <c r="S24" i="7"/>
  <c r="R24" i="7"/>
  <c r="Q24" i="7"/>
  <c r="L24" i="7"/>
  <c r="M24" i="7" s="1"/>
  <c r="K24" i="7"/>
  <c r="C24" i="7"/>
  <c r="AB23" i="7"/>
  <c r="AC23" i="7" s="1"/>
  <c r="AD23" i="7" s="1"/>
  <c r="AA23" i="7"/>
  <c r="Z23" i="7"/>
  <c r="Y23" i="7"/>
  <c r="X23" i="7"/>
  <c r="W23" i="7"/>
  <c r="R23" i="7"/>
  <c r="S23" i="7" s="1"/>
  <c r="Q23" i="7"/>
  <c r="L23" i="7"/>
  <c r="M23" i="7" s="1"/>
  <c r="K23" i="7"/>
  <c r="C23" i="7"/>
  <c r="AB22" i="7"/>
  <c r="AC22" i="7" s="1"/>
  <c r="AD22" i="7" s="1"/>
  <c r="Z22" i="7"/>
  <c r="AA22" i="7" s="1"/>
  <c r="Y22" i="7"/>
  <c r="X22" i="7"/>
  <c r="W22" i="7"/>
  <c r="R22" i="7"/>
  <c r="S22" i="7" s="1"/>
  <c r="Q22" i="7"/>
  <c r="L22" i="7"/>
  <c r="M22" i="7" s="1"/>
  <c r="K22" i="7"/>
  <c r="C22" i="7"/>
  <c r="AB21" i="7"/>
  <c r="AC21" i="7" s="1"/>
  <c r="AD21" i="7" s="1"/>
  <c r="AA21" i="7"/>
  <c r="Z21" i="7"/>
  <c r="Y21" i="7"/>
  <c r="X21" i="7"/>
  <c r="W21" i="7"/>
  <c r="R21" i="7"/>
  <c r="S21" i="7" s="1"/>
  <c r="Q21" i="7"/>
  <c r="L21" i="7"/>
  <c r="M21" i="7" s="1"/>
  <c r="K21" i="7"/>
  <c r="C21" i="7"/>
  <c r="AB20" i="7"/>
  <c r="AC20" i="7" s="1"/>
  <c r="AD20" i="7" s="1"/>
  <c r="Z20" i="7"/>
  <c r="AA20" i="7" s="1"/>
  <c r="Y20" i="7"/>
  <c r="X20" i="7"/>
  <c r="W20" i="7"/>
  <c r="S20" i="7"/>
  <c r="R20" i="7"/>
  <c r="Q20" i="7"/>
  <c r="L20" i="7"/>
  <c r="M20" i="7" s="1"/>
  <c r="K20" i="7"/>
  <c r="C20" i="7"/>
  <c r="AB19" i="7"/>
  <c r="AC19" i="7" s="1"/>
  <c r="AD19" i="7" s="1"/>
  <c r="AA19" i="7"/>
  <c r="Z19" i="7"/>
  <c r="Y19" i="7"/>
  <c r="X19" i="7"/>
  <c r="W19" i="7"/>
  <c r="R19" i="7"/>
  <c r="S19" i="7" s="1"/>
  <c r="Q19" i="7"/>
  <c r="L19" i="7"/>
  <c r="M19" i="7" s="1"/>
  <c r="K19" i="7"/>
  <c r="C19" i="7"/>
  <c r="Z18" i="7"/>
  <c r="AA18" i="7" s="1"/>
  <c r="Y18" i="7"/>
  <c r="X18" i="7"/>
  <c r="W18" i="7"/>
  <c r="R18" i="7"/>
  <c r="S18" i="7" s="1"/>
  <c r="Q18" i="7"/>
  <c r="K18" i="7"/>
  <c r="L18" i="7" s="1"/>
  <c r="M18" i="7" s="1"/>
  <c r="AB18" i="7" s="1"/>
  <c r="AC18" i="7" s="1"/>
  <c r="AD18" i="7" s="1"/>
  <c r="C18" i="7"/>
  <c r="Q15" i="7"/>
  <c r="K15" i="7"/>
  <c r="J11" i="7"/>
  <c r="AA10" i="7"/>
  <c r="Q10" i="7"/>
  <c r="J10" i="7"/>
  <c r="Z7" i="7"/>
  <c r="F7" i="7"/>
  <c r="Z5" i="7"/>
  <c r="R5" i="7"/>
  <c r="F5" i="7"/>
  <c r="I10" i="5"/>
  <c r="I9" i="5"/>
  <c r="D10" i="5"/>
  <c r="D9" i="5"/>
  <c r="J6" i="5"/>
  <c r="J5" i="5"/>
  <c r="G5" i="5"/>
  <c r="D6" i="5"/>
  <c r="D5" i="5"/>
  <c r="AA10" i="4"/>
  <c r="Q10" i="4"/>
  <c r="J11" i="4"/>
  <c r="J10" i="4"/>
  <c r="Z7" i="4"/>
  <c r="Z5" i="4"/>
  <c r="R5" i="4"/>
  <c r="F7" i="4"/>
  <c r="F5" i="4"/>
  <c r="L18" i="8" l="1"/>
  <c r="M18" i="8" s="1"/>
  <c r="AB18" i="8" s="1"/>
  <c r="AC18" i="8" s="1"/>
  <c r="AD18" i="8" s="1"/>
  <c r="AB19" i="8"/>
  <c r="AC19" i="8" s="1"/>
  <c r="AD19" i="8" s="1"/>
  <c r="G112" i="5"/>
  <c r="AD86" i="7"/>
  <c r="G82" i="5"/>
  <c r="AD114" i="7"/>
  <c r="G110" i="5"/>
  <c r="AD29" i="7"/>
  <c r="G25" i="5"/>
  <c r="AD39" i="7"/>
  <c r="G35" i="5"/>
  <c r="AD98" i="7"/>
  <c r="G94" i="5"/>
  <c r="AD37" i="7"/>
  <c r="G33" i="5"/>
  <c r="AD49" i="7"/>
  <c r="G45" i="5"/>
  <c r="AD82" i="7"/>
  <c r="G78" i="5"/>
  <c r="AD110" i="7"/>
  <c r="G106" i="5"/>
  <c r="AD35" i="7"/>
  <c r="G31" i="5"/>
  <c r="AD47" i="7"/>
  <c r="G43" i="5"/>
  <c r="AD78" i="7"/>
  <c r="G74" i="5"/>
  <c r="AD106" i="7"/>
  <c r="G102" i="5"/>
  <c r="AD74" i="7"/>
  <c r="G70" i="5"/>
  <c r="AD33" i="7"/>
  <c r="G29" i="5"/>
  <c r="AD45" i="7"/>
  <c r="G41" i="5"/>
  <c r="AD90" i="7"/>
  <c r="G86" i="5"/>
  <c r="AD31" i="7"/>
  <c r="G27" i="5"/>
  <c r="AD43" i="7"/>
  <c r="G39" i="5"/>
  <c r="AD102" i="7"/>
  <c r="G98" i="5"/>
  <c r="G60" i="5"/>
  <c r="G48" i="5"/>
  <c r="G36" i="5"/>
  <c r="G24" i="5"/>
  <c r="G113" i="5"/>
  <c r="G101" i="5"/>
  <c r="G89" i="5"/>
  <c r="G77" i="5"/>
  <c r="G59" i="5"/>
  <c r="G47" i="5"/>
  <c r="G23" i="5"/>
  <c r="G100" i="5"/>
  <c r="G88" i="5"/>
  <c r="G76" i="5"/>
  <c r="G58" i="5"/>
  <c r="G46" i="5"/>
  <c r="G34" i="5"/>
  <c r="G22" i="5"/>
  <c r="G111" i="5"/>
  <c r="G99" i="5"/>
  <c r="G87" i="5"/>
  <c r="G75" i="5"/>
  <c r="G57" i="5"/>
  <c r="G21" i="5"/>
  <c r="G56" i="5"/>
  <c r="G44" i="5"/>
  <c r="G32" i="5"/>
  <c r="G20" i="5"/>
  <c r="G109" i="5"/>
  <c r="G97" i="5"/>
  <c r="G85" i="5"/>
  <c r="G73" i="5"/>
  <c r="G55" i="5"/>
  <c r="G19" i="5"/>
  <c r="G108" i="5"/>
  <c r="G96" i="5"/>
  <c r="G84" i="5"/>
  <c r="G72" i="5"/>
  <c r="G54" i="5"/>
  <c r="G42" i="5"/>
  <c r="G30" i="5"/>
  <c r="G18" i="5"/>
  <c r="G107" i="5"/>
  <c r="G95" i="5"/>
  <c r="G83" i="5"/>
  <c r="G71" i="5"/>
  <c r="G53" i="5"/>
  <c r="G17" i="5"/>
  <c r="G14" i="5"/>
  <c r="G52" i="5"/>
  <c r="G40" i="5"/>
  <c r="G28" i="5"/>
  <c r="G16" i="5"/>
  <c r="G105" i="5"/>
  <c r="G93" i="5"/>
  <c r="G81" i="5"/>
  <c r="G69" i="5"/>
  <c r="G63" i="5"/>
  <c r="G51" i="5"/>
  <c r="G15" i="5"/>
  <c r="G104" i="5"/>
  <c r="G92" i="5"/>
  <c r="G80" i="5"/>
  <c r="G68" i="5"/>
  <c r="G62" i="5"/>
  <c r="G50" i="5"/>
  <c r="G38" i="5"/>
  <c r="G26" i="5"/>
  <c r="G65" i="5"/>
  <c r="G103" i="5"/>
  <c r="G91" i="5"/>
  <c r="G79" i="5"/>
  <c r="G67" i="5"/>
  <c r="G61" i="5"/>
  <c r="G49" i="5"/>
  <c r="G37" i="5"/>
  <c r="G114" i="5"/>
  <c r="G90" i="5"/>
  <c r="G66" i="5"/>
  <c r="F113" i="5"/>
  <c r="F60" i="5"/>
  <c r="F54" i="5"/>
  <c r="F48" i="5"/>
  <c r="F42" i="5"/>
  <c r="F36" i="5"/>
  <c r="F30" i="5"/>
  <c r="F24" i="5"/>
  <c r="F18" i="5"/>
  <c r="F107" i="5"/>
  <c r="F101" i="5"/>
  <c r="F95" i="5"/>
  <c r="F89" i="5"/>
  <c r="F83" i="5"/>
  <c r="F77" i="5"/>
  <c r="F71" i="5"/>
  <c r="F59" i="5"/>
  <c r="F53" i="5"/>
  <c r="F47" i="5"/>
  <c r="F41" i="5"/>
  <c r="F35" i="5"/>
  <c r="F29" i="5"/>
  <c r="F23" i="5"/>
  <c r="F17" i="5"/>
  <c r="F112" i="5"/>
  <c r="F106" i="5"/>
  <c r="F100" i="5"/>
  <c r="F94" i="5"/>
  <c r="F88" i="5"/>
  <c r="F82" i="5"/>
  <c r="F76" i="5"/>
  <c r="F70" i="5"/>
  <c r="F58" i="5"/>
  <c r="F52" i="5"/>
  <c r="F46" i="5"/>
  <c r="F40" i="5"/>
  <c r="F34" i="5"/>
  <c r="F28" i="5"/>
  <c r="F22" i="5"/>
  <c r="F16" i="5"/>
  <c r="F111" i="5"/>
  <c r="F105" i="5"/>
  <c r="F99" i="5"/>
  <c r="F93" i="5"/>
  <c r="F87" i="5"/>
  <c r="F81" i="5"/>
  <c r="F75" i="5"/>
  <c r="F69" i="5"/>
  <c r="F63" i="5"/>
  <c r="F57" i="5"/>
  <c r="F51" i="5"/>
  <c r="F45" i="5"/>
  <c r="F39" i="5"/>
  <c r="F33" i="5"/>
  <c r="F27" i="5"/>
  <c r="F21" i="5"/>
  <c r="F110" i="5"/>
  <c r="F104" i="5"/>
  <c r="F98" i="5"/>
  <c r="F92" i="5"/>
  <c r="F86" i="5"/>
  <c r="F80" i="5"/>
  <c r="F74" i="5"/>
  <c r="F68" i="5"/>
  <c r="F65" i="5"/>
  <c r="F62" i="5"/>
  <c r="F56" i="5"/>
  <c r="F50" i="5"/>
  <c r="F44" i="5"/>
  <c r="F38" i="5"/>
  <c r="F32" i="5"/>
  <c r="F26" i="5"/>
  <c r="F20" i="5"/>
  <c r="F109" i="5"/>
  <c r="F103" i="5"/>
  <c r="F97" i="5"/>
  <c r="F91" i="5"/>
  <c r="F85" i="5"/>
  <c r="F79" i="5"/>
  <c r="F73" i="5"/>
  <c r="F67" i="5"/>
  <c r="F61" i="5"/>
  <c r="F55" i="5"/>
  <c r="F49" i="5"/>
  <c r="F43" i="5"/>
  <c r="F37" i="5"/>
  <c r="F31" i="5"/>
  <c r="F25" i="5"/>
  <c r="F19" i="5"/>
  <c r="F114" i="5"/>
  <c r="F108" i="5"/>
  <c r="F102" i="5"/>
  <c r="F96" i="5"/>
  <c r="F90" i="5"/>
  <c r="F84" i="5"/>
  <c r="F78" i="5"/>
  <c r="F72" i="5"/>
  <c r="F66"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AB118" i="4"/>
  <c r="AC118" i="4" s="1"/>
  <c r="AA118" i="4"/>
  <c r="Z118" i="4"/>
  <c r="Y118" i="4"/>
  <c r="X118" i="4"/>
  <c r="W118" i="4"/>
  <c r="R118" i="4"/>
  <c r="S118" i="4" s="1"/>
  <c r="Q118" i="4"/>
  <c r="L118" i="4"/>
  <c r="M118" i="4" s="1"/>
  <c r="K118" i="4"/>
  <c r="C118" i="4"/>
  <c r="AB117" i="4"/>
  <c r="AC117" i="4" s="1"/>
  <c r="H113" i="5" s="1"/>
  <c r="Z117" i="4"/>
  <c r="AA117" i="4" s="1"/>
  <c r="Y117" i="4"/>
  <c r="X117" i="4"/>
  <c r="W117" i="4"/>
  <c r="R117" i="4"/>
  <c r="S117" i="4" s="1"/>
  <c r="Q117" i="4"/>
  <c r="L117" i="4"/>
  <c r="M117" i="4" s="1"/>
  <c r="K117" i="4"/>
  <c r="C117" i="4"/>
  <c r="AB116" i="4"/>
  <c r="AC116" i="4" s="1"/>
  <c r="AA116" i="4"/>
  <c r="Z116" i="4"/>
  <c r="Y116" i="4"/>
  <c r="X116" i="4"/>
  <c r="W116" i="4"/>
  <c r="S116" i="4"/>
  <c r="R116" i="4"/>
  <c r="Q116" i="4"/>
  <c r="L116" i="4"/>
  <c r="M116" i="4" s="1"/>
  <c r="K116" i="4"/>
  <c r="C116" i="4"/>
  <c r="AB115" i="4"/>
  <c r="AC115" i="4" s="1"/>
  <c r="Z115" i="4"/>
  <c r="AA115" i="4" s="1"/>
  <c r="Y115" i="4"/>
  <c r="X115" i="4"/>
  <c r="W115" i="4"/>
  <c r="S115" i="4"/>
  <c r="R115" i="4"/>
  <c r="Q115" i="4"/>
  <c r="L115" i="4"/>
  <c r="M115" i="4" s="1"/>
  <c r="K115" i="4"/>
  <c r="C115" i="4"/>
  <c r="AB114" i="4"/>
  <c r="AC114" i="4" s="1"/>
  <c r="AA114" i="4"/>
  <c r="Z114" i="4"/>
  <c r="Y114" i="4"/>
  <c r="X114" i="4"/>
  <c r="W114" i="4"/>
  <c r="R114" i="4"/>
  <c r="S114" i="4" s="1"/>
  <c r="Q114" i="4"/>
  <c r="L114" i="4"/>
  <c r="M114" i="4" s="1"/>
  <c r="K114" i="4"/>
  <c r="C114" i="4"/>
  <c r="AB113" i="4"/>
  <c r="AC113" i="4" s="1"/>
  <c r="H109" i="5" s="1"/>
  <c r="Z113" i="4"/>
  <c r="AA113" i="4" s="1"/>
  <c r="Y113" i="4"/>
  <c r="X113" i="4"/>
  <c r="W113" i="4"/>
  <c r="S113" i="4"/>
  <c r="R113" i="4"/>
  <c r="Q113" i="4"/>
  <c r="L113" i="4"/>
  <c r="M113" i="4" s="1"/>
  <c r="K113" i="4"/>
  <c r="C113" i="4"/>
  <c r="AB112" i="4"/>
  <c r="AC112" i="4" s="1"/>
  <c r="AA112" i="4"/>
  <c r="Z112" i="4"/>
  <c r="Y112" i="4"/>
  <c r="X112" i="4"/>
  <c r="W112" i="4"/>
  <c r="R112" i="4"/>
  <c r="S112" i="4" s="1"/>
  <c r="Q112" i="4"/>
  <c r="L112" i="4"/>
  <c r="M112" i="4" s="1"/>
  <c r="K112" i="4"/>
  <c r="C112" i="4"/>
  <c r="AB111" i="4"/>
  <c r="AC111" i="4" s="1"/>
  <c r="H107" i="5" s="1"/>
  <c r="Z111" i="4"/>
  <c r="AA111" i="4" s="1"/>
  <c r="Y111" i="4"/>
  <c r="X111" i="4"/>
  <c r="W111" i="4"/>
  <c r="S111" i="4"/>
  <c r="R111" i="4"/>
  <c r="Q111" i="4"/>
  <c r="L111" i="4"/>
  <c r="M111" i="4" s="1"/>
  <c r="K111" i="4"/>
  <c r="C111" i="4"/>
  <c r="AB110" i="4"/>
  <c r="AC110" i="4" s="1"/>
  <c r="AA110" i="4"/>
  <c r="Z110" i="4"/>
  <c r="Y110" i="4"/>
  <c r="X110" i="4"/>
  <c r="W110" i="4"/>
  <c r="R110" i="4"/>
  <c r="S110" i="4" s="1"/>
  <c r="Q110" i="4"/>
  <c r="L110" i="4"/>
  <c r="M110" i="4" s="1"/>
  <c r="K110" i="4"/>
  <c r="C110" i="4"/>
  <c r="AB109" i="4"/>
  <c r="AC109" i="4" s="1"/>
  <c r="H105" i="5" s="1"/>
  <c r="Z109" i="4"/>
  <c r="AA109" i="4" s="1"/>
  <c r="Y109" i="4"/>
  <c r="X109" i="4"/>
  <c r="W109" i="4"/>
  <c r="S109" i="4"/>
  <c r="R109" i="4"/>
  <c r="Q109" i="4"/>
  <c r="L109" i="4"/>
  <c r="M109" i="4" s="1"/>
  <c r="K109" i="4"/>
  <c r="C109" i="4"/>
  <c r="AB108" i="4"/>
  <c r="AC108" i="4" s="1"/>
  <c r="Z108" i="4"/>
  <c r="AA108" i="4" s="1"/>
  <c r="Y108" i="4"/>
  <c r="X108" i="4"/>
  <c r="W108" i="4"/>
  <c r="R108" i="4"/>
  <c r="S108" i="4" s="1"/>
  <c r="Q108" i="4"/>
  <c r="L108" i="4"/>
  <c r="M108" i="4" s="1"/>
  <c r="K108" i="4"/>
  <c r="C108" i="4"/>
  <c r="AB107" i="4"/>
  <c r="AC107" i="4" s="1"/>
  <c r="H103" i="5" s="1"/>
  <c r="Z107" i="4"/>
  <c r="AA107" i="4" s="1"/>
  <c r="Y107" i="4"/>
  <c r="X107" i="4"/>
  <c r="W107" i="4"/>
  <c r="S107" i="4"/>
  <c r="R107" i="4"/>
  <c r="Q107" i="4"/>
  <c r="L107" i="4"/>
  <c r="M107" i="4" s="1"/>
  <c r="K107" i="4"/>
  <c r="C107" i="4"/>
  <c r="AB106" i="4"/>
  <c r="AC106" i="4" s="1"/>
  <c r="AA106" i="4"/>
  <c r="Z106" i="4"/>
  <c r="Y106" i="4"/>
  <c r="X106" i="4"/>
  <c r="W106" i="4"/>
  <c r="R106" i="4"/>
  <c r="S106" i="4" s="1"/>
  <c r="Q106" i="4"/>
  <c r="L106" i="4"/>
  <c r="M106" i="4" s="1"/>
  <c r="K106" i="4"/>
  <c r="C106" i="4"/>
  <c r="AB105" i="4"/>
  <c r="AC105" i="4" s="1"/>
  <c r="H101" i="5" s="1"/>
  <c r="Z105" i="4"/>
  <c r="AA105" i="4" s="1"/>
  <c r="Y105" i="4"/>
  <c r="X105" i="4"/>
  <c r="W105" i="4"/>
  <c r="R105" i="4"/>
  <c r="S105" i="4" s="1"/>
  <c r="Q105" i="4"/>
  <c r="L105" i="4"/>
  <c r="M105" i="4" s="1"/>
  <c r="K105" i="4"/>
  <c r="C105" i="4"/>
  <c r="AB104" i="4"/>
  <c r="AC104" i="4" s="1"/>
  <c r="AA104" i="4"/>
  <c r="Z104" i="4"/>
  <c r="Y104" i="4"/>
  <c r="X104" i="4"/>
  <c r="W104" i="4"/>
  <c r="S104" i="4"/>
  <c r="R104" i="4"/>
  <c r="Q104" i="4"/>
  <c r="L104" i="4"/>
  <c r="M104" i="4" s="1"/>
  <c r="K104" i="4"/>
  <c r="C104" i="4"/>
  <c r="AB103" i="4"/>
  <c r="AC103" i="4" s="1"/>
  <c r="Z103" i="4"/>
  <c r="AA103" i="4" s="1"/>
  <c r="Y103" i="4"/>
  <c r="X103" i="4"/>
  <c r="W103" i="4"/>
  <c r="S103" i="4"/>
  <c r="R103" i="4"/>
  <c r="Q103" i="4"/>
  <c r="L103" i="4"/>
  <c r="M103" i="4" s="1"/>
  <c r="K103" i="4"/>
  <c r="C103" i="4"/>
  <c r="AB102" i="4"/>
  <c r="AC102" i="4" s="1"/>
  <c r="AA102" i="4"/>
  <c r="Z102" i="4"/>
  <c r="Y102" i="4"/>
  <c r="X102" i="4"/>
  <c r="W102" i="4"/>
  <c r="R102" i="4"/>
  <c r="S102" i="4" s="1"/>
  <c r="Q102" i="4"/>
  <c r="L102" i="4"/>
  <c r="M102" i="4" s="1"/>
  <c r="K102" i="4"/>
  <c r="C102" i="4"/>
  <c r="AB101" i="4"/>
  <c r="AC101" i="4" s="1"/>
  <c r="H97" i="5" s="1"/>
  <c r="Z101" i="4"/>
  <c r="AA101" i="4" s="1"/>
  <c r="Y101" i="4"/>
  <c r="X101" i="4"/>
  <c r="W101" i="4"/>
  <c r="R101" i="4"/>
  <c r="S101" i="4" s="1"/>
  <c r="Q101" i="4"/>
  <c r="L101" i="4"/>
  <c r="M101" i="4" s="1"/>
  <c r="K101" i="4"/>
  <c r="C101" i="4"/>
  <c r="AB100" i="4"/>
  <c r="AC100" i="4" s="1"/>
  <c r="AA100" i="4"/>
  <c r="Z100" i="4"/>
  <c r="Y100" i="4"/>
  <c r="X100" i="4"/>
  <c r="W100" i="4"/>
  <c r="R100" i="4"/>
  <c r="S100" i="4" s="1"/>
  <c r="Q100" i="4"/>
  <c r="L100" i="4"/>
  <c r="M100" i="4" s="1"/>
  <c r="K100" i="4"/>
  <c r="C100" i="4"/>
  <c r="AB99" i="4"/>
  <c r="AC99" i="4" s="1"/>
  <c r="Z99" i="4"/>
  <c r="AA99" i="4" s="1"/>
  <c r="Y99" i="4"/>
  <c r="X99" i="4"/>
  <c r="W99" i="4"/>
  <c r="S99" i="4"/>
  <c r="R99" i="4"/>
  <c r="Q99" i="4"/>
  <c r="L99" i="4"/>
  <c r="M99" i="4" s="1"/>
  <c r="K99" i="4"/>
  <c r="C99" i="4"/>
  <c r="AB98" i="4"/>
  <c r="AC98" i="4" s="1"/>
  <c r="AA98" i="4"/>
  <c r="Z98" i="4"/>
  <c r="Y98" i="4"/>
  <c r="X98" i="4"/>
  <c r="W98" i="4"/>
  <c r="R98" i="4"/>
  <c r="S98" i="4" s="1"/>
  <c r="Q98" i="4"/>
  <c r="L98" i="4"/>
  <c r="M98" i="4" s="1"/>
  <c r="K98" i="4"/>
  <c r="C98" i="4"/>
  <c r="AB97" i="4"/>
  <c r="AC97" i="4" s="1"/>
  <c r="H93" i="5" s="1"/>
  <c r="Z97" i="4"/>
  <c r="AA97" i="4" s="1"/>
  <c r="Y97" i="4"/>
  <c r="X97" i="4"/>
  <c r="W97" i="4"/>
  <c r="R97" i="4"/>
  <c r="S97" i="4" s="1"/>
  <c r="Q97" i="4"/>
  <c r="L97" i="4"/>
  <c r="M97" i="4" s="1"/>
  <c r="K97" i="4"/>
  <c r="C97" i="4"/>
  <c r="AB96" i="4"/>
  <c r="AC96" i="4" s="1"/>
  <c r="AA96" i="4"/>
  <c r="Z96" i="4"/>
  <c r="Y96" i="4"/>
  <c r="X96" i="4"/>
  <c r="W96" i="4"/>
  <c r="S96" i="4"/>
  <c r="R96" i="4"/>
  <c r="Q96" i="4"/>
  <c r="L96" i="4"/>
  <c r="M96" i="4" s="1"/>
  <c r="K96" i="4"/>
  <c r="C96" i="4"/>
  <c r="AB95" i="4"/>
  <c r="AC95" i="4" s="1"/>
  <c r="Z95" i="4"/>
  <c r="AA95" i="4" s="1"/>
  <c r="Y95" i="4"/>
  <c r="X95" i="4"/>
  <c r="W95" i="4"/>
  <c r="S95" i="4"/>
  <c r="R95" i="4"/>
  <c r="Q95" i="4"/>
  <c r="L95" i="4"/>
  <c r="M95" i="4" s="1"/>
  <c r="K95" i="4"/>
  <c r="C95" i="4"/>
  <c r="AB94" i="4"/>
  <c r="AC94" i="4" s="1"/>
  <c r="AA94" i="4"/>
  <c r="Z94" i="4"/>
  <c r="Y94" i="4"/>
  <c r="X94" i="4"/>
  <c r="W94" i="4"/>
  <c r="R94" i="4"/>
  <c r="S94" i="4" s="1"/>
  <c r="Q94" i="4"/>
  <c r="L94" i="4"/>
  <c r="M94" i="4" s="1"/>
  <c r="K94" i="4"/>
  <c r="C94" i="4"/>
  <c r="AB93" i="4"/>
  <c r="AC93" i="4" s="1"/>
  <c r="H89" i="5" s="1"/>
  <c r="Z93" i="4"/>
  <c r="AA93" i="4" s="1"/>
  <c r="Y93" i="4"/>
  <c r="X93" i="4"/>
  <c r="W93" i="4"/>
  <c r="R93" i="4"/>
  <c r="S93" i="4" s="1"/>
  <c r="Q93" i="4"/>
  <c r="L93" i="4"/>
  <c r="M93" i="4" s="1"/>
  <c r="K93" i="4"/>
  <c r="C93" i="4"/>
  <c r="AB92" i="4"/>
  <c r="AC92" i="4" s="1"/>
  <c r="AD92" i="4" s="1"/>
  <c r="AA92" i="4"/>
  <c r="Z92" i="4"/>
  <c r="Y92" i="4"/>
  <c r="X92" i="4"/>
  <c r="W92" i="4"/>
  <c r="R92" i="4"/>
  <c r="S92" i="4" s="1"/>
  <c r="Q92" i="4"/>
  <c r="L92" i="4"/>
  <c r="M92" i="4" s="1"/>
  <c r="K92" i="4"/>
  <c r="C92" i="4"/>
  <c r="AB91" i="4"/>
  <c r="AC91" i="4" s="1"/>
  <c r="Z91" i="4"/>
  <c r="AA91" i="4" s="1"/>
  <c r="Y91" i="4"/>
  <c r="X91" i="4"/>
  <c r="W91" i="4"/>
  <c r="S91" i="4"/>
  <c r="R91" i="4"/>
  <c r="Q91" i="4"/>
  <c r="L91" i="4"/>
  <c r="M91" i="4" s="1"/>
  <c r="K91" i="4"/>
  <c r="C91" i="4"/>
  <c r="AB90" i="4"/>
  <c r="AC90" i="4" s="1"/>
  <c r="AD90" i="4" s="1"/>
  <c r="AA90" i="4"/>
  <c r="Z90" i="4"/>
  <c r="Y90" i="4"/>
  <c r="X90" i="4"/>
  <c r="W90" i="4"/>
  <c r="R90" i="4"/>
  <c r="S90" i="4" s="1"/>
  <c r="Q90" i="4"/>
  <c r="L90" i="4"/>
  <c r="M90" i="4" s="1"/>
  <c r="K90" i="4"/>
  <c r="C90" i="4"/>
  <c r="AB89" i="4"/>
  <c r="AC89" i="4" s="1"/>
  <c r="H85" i="5" s="1"/>
  <c r="Z89" i="4"/>
  <c r="AA89" i="4" s="1"/>
  <c r="Y89" i="4"/>
  <c r="X89" i="4"/>
  <c r="W89" i="4"/>
  <c r="R89" i="4"/>
  <c r="S89" i="4" s="1"/>
  <c r="Q89" i="4"/>
  <c r="L89" i="4"/>
  <c r="M89" i="4" s="1"/>
  <c r="K89" i="4"/>
  <c r="C89" i="4"/>
  <c r="AB88" i="4"/>
  <c r="AC88" i="4" s="1"/>
  <c r="AD88" i="4" s="1"/>
  <c r="Z88" i="4"/>
  <c r="AA88" i="4" s="1"/>
  <c r="Y88" i="4"/>
  <c r="X88" i="4"/>
  <c r="W88" i="4"/>
  <c r="S88" i="4"/>
  <c r="R88" i="4"/>
  <c r="Q88" i="4"/>
  <c r="L88" i="4"/>
  <c r="M88" i="4" s="1"/>
  <c r="K88" i="4"/>
  <c r="C88" i="4"/>
  <c r="AB87" i="4"/>
  <c r="AC87" i="4" s="1"/>
  <c r="H83" i="5" s="1"/>
  <c r="Z87" i="4"/>
  <c r="AA87" i="4" s="1"/>
  <c r="Y87" i="4"/>
  <c r="X87" i="4"/>
  <c r="W87" i="4"/>
  <c r="S87" i="4"/>
  <c r="R87" i="4"/>
  <c r="Q87" i="4"/>
  <c r="L87" i="4"/>
  <c r="M87" i="4" s="1"/>
  <c r="K87" i="4"/>
  <c r="C87" i="4"/>
  <c r="AB86" i="4"/>
  <c r="AC86" i="4" s="1"/>
  <c r="AA86" i="4"/>
  <c r="Z86" i="4"/>
  <c r="Y86" i="4"/>
  <c r="X86" i="4"/>
  <c r="W86" i="4"/>
  <c r="R86" i="4"/>
  <c r="S86" i="4" s="1"/>
  <c r="Q86" i="4"/>
  <c r="L86" i="4"/>
  <c r="M86" i="4" s="1"/>
  <c r="K86" i="4"/>
  <c r="C86" i="4"/>
  <c r="AB85" i="4"/>
  <c r="AC85" i="4" s="1"/>
  <c r="H81" i="5" s="1"/>
  <c r="Z85" i="4"/>
  <c r="AA85" i="4" s="1"/>
  <c r="Y85" i="4"/>
  <c r="X85" i="4"/>
  <c r="W85" i="4"/>
  <c r="S85" i="4"/>
  <c r="R85" i="4"/>
  <c r="Q85" i="4"/>
  <c r="L85" i="4"/>
  <c r="M85" i="4" s="1"/>
  <c r="K85" i="4"/>
  <c r="C85" i="4"/>
  <c r="AB84" i="4"/>
  <c r="AC84" i="4" s="1"/>
  <c r="AD84" i="4" s="1"/>
  <c r="AA84" i="4"/>
  <c r="Z84" i="4"/>
  <c r="Y84" i="4"/>
  <c r="X84" i="4"/>
  <c r="W84" i="4"/>
  <c r="S84" i="4"/>
  <c r="R84" i="4"/>
  <c r="Q84" i="4"/>
  <c r="L84" i="4"/>
  <c r="M84" i="4" s="1"/>
  <c r="K84" i="4"/>
  <c r="C84" i="4"/>
  <c r="AB83" i="4"/>
  <c r="AC83" i="4" s="1"/>
  <c r="Z83" i="4"/>
  <c r="AA83" i="4" s="1"/>
  <c r="Y83" i="4"/>
  <c r="X83" i="4"/>
  <c r="W83" i="4"/>
  <c r="S83" i="4"/>
  <c r="R83" i="4"/>
  <c r="Q83" i="4"/>
  <c r="L83" i="4"/>
  <c r="M83" i="4" s="1"/>
  <c r="K83" i="4"/>
  <c r="C83" i="4"/>
  <c r="AB82" i="4"/>
  <c r="AC82" i="4" s="1"/>
  <c r="AA82" i="4"/>
  <c r="Z82" i="4"/>
  <c r="Y82" i="4"/>
  <c r="X82" i="4"/>
  <c r="W82" i="4"/>
  <c r="R82" i="4"/>
  <c r="S82" i="4" s="1"/>
  <c r="Q82" i="4"/>
  <c r="L82" i="4"/>
  <c r="M82" i="4" s="1"/>
  <c r="K82" i="4"/>
  <c r="C82" i="4"/>
  <c r="AB81" i="4"/>
  <c r="AC81" i="4" s="1"/>
  <c r="H77" i="5" s="1"/>
  <c r="Z81" i="4"/>
  <c r="AA81" i="4" s="1"/>
  <c r="Y81" i="4"/>
  <c r="X81" i="4"/>
  <c r="W81" i="4"/>
  <c r="S81" i="4"/>
  <c r="R81" i="4"/>
  <c r="Q81" i="4"/>
  <c r="L81" i="4"/>
  <c r="M81" i="4" s="1"/>
  <c r="K81" i="4"/>
  <c r="C81" i="4"/>
  <c r="AB80" i="4"/>
  <c r="AC80" i="4" s="1"/>
  <c r="AD80" i="4" s="1"/>
  <c r="Z80" i="4"/>
  <c r="AA80" i="4" s="1"/>
  <c r="Y80" i="4"/>
  <c r="X80" i="4"/>
  <c r="W80" i="4"/>
  <c r="S80" i="4"/>
  <c r="R80" i="4"/>
  <c r="Q80" i="4"/>
  <c r="L80" i="4"/>
  <c r="M80" i="4" s="1"/>
  <c r="K80" i="4"/>
  <c r="C80" i="4"/>
  <c r="AB79" i="4"/>
  <c r="AC79" i="4" s="1"/>
  <c r="Z79" i="4"/>
  <c r="AA79" i="4" s="1"/>
  <c r="Y79" i="4"/>
  <c r="X79" i="4"/>
  <c r="W79" i="4"/>
  <c r="S79" i="4"/>
  <c r="R79" i="4"/>
  <c r="Q79" i="4"/>
  <c r="L79" i="4"/>
  <c r="M79" i="4" s="1"/>
  <c r="K79" i="4"/>
  <c r="C79" i="4"/>
  <c r="AB78" i="4"/>
  <c r="AC78" i="4" s="1"/>
  <c r="AA78" i="4"/>
  <c r="Z78" i="4"/>
  <c r="Y78" i="4"/>
  <c r="X78" i="4"/>
  <c r="W78" i="4"/>
  <c r="R78" i="4"/>
  <c r="S78" i="4" s="1"/>
  <c r="Q78" i="4"/>
  <c r="L78" i="4"/>
  <c r="M78" i="4" s="1"/>
  <c r="K78" i="4"/>
  <c r="C78" i="4"/>
  <c r="AB77" i="4"/>
  <c r="AC77" i="4" s="1"/>
  <c r="H73" i="5" s="1"/>
  <c r="Z77" i="4"/>
  <c r="AA77" i="4" s="1"/>
  <c r="Y77" i="4"/>
  <c r="X77" i="4"/>
  <c r="W77" i="4"/>
  <c r="S77" i="4"/>
  <c r="R77" i="4"/>
  <c r="Q77" i="4"/>
  <c r="L77" i="4"/>
  <c r="M77" i="4" s="1"/>
  <c r="K77" i="4"/>
  <c r="C77" i="4"/>
  <c r="AB76" i="4"/>
  <c r="AC76" i="4" s="1"/>
  <c r="AD76" i="4" s="1"/>
  <c r="Z76" i="4"/>
  <c r="AA76" i="4" s="1"/>
  <c r="Y76" i="4"/>
  <c r="X76" i="4"/>
  <c r="W76" i="4"/>
  <c r="S76" i="4"/>
  <c r="R76" i="4"/>
  <c r="Q76" i="4"/>
  <c r="L76" i="4"/>
  <c r="M76" i="4" s="1"/>
  <c r="K76" i="4"/>
  <c r="C76" i="4"/>
  <c r="AB75" i="4"/>
  <c r="AC75" i="4" s="1"/>
  <c r="Z75" i="4"/>
  <c r="AA75" i="4" s="1"/>
  <c r="Y75" i="4"/>
  <c r="X75" i="4"/>
  <c r="W75" i="4"/>
  <c r="S75" i="4"/>
  <c r="R75" i="4"/>
  <c r="Q75" i="4"/>
  <c r="L75" i="4"/>
  <c r="M75" i="4" s="1"/>
  <c r="K75" i="4"/>
  <c r="C75" i="4"/>
  <c r="AB74" i="4"/>
  <c r="AC74" i="4" s="1"/>
  <c r="AA74" i="4"/>
  <c r="Z74" i="4"/>
  <c r="Y74" i="4"/>
  <c r="X74" i="4"/>
  <c r="W74" i="4"/>
  <c r="R74" i="4"/>
  <c r="S74" i="4" s="1"/>
  <c r="Q74" i="4"/>
  <c r="L74" i="4"/>
  <c r="M74" i="4" s="1"/>
  <c r="K74" i="4"/>
  <c r="C74" i="4"/>
  <c r="AB73" i="4"/>
  <c r="AC73" i="4" s="1"/>
  <c r="H69" i="5" s="1"/>
  <c r="Z73" i="4"/>
  <c r="AA73" i="4" s="1"/>
  <c r="Y73" i="4"/>
  <c r="X73" i="4"/>
  <c r="W73" i="4"/>
  <c r="S73" i="4"/>
  <c r="R73" i="4"/>
  <c r="Q73" i="4"/>
  <c r="L73" i="4"/>
  <c r="M73" i="4" s="1"/>
  <c r="K73" i="4"/>
  <c r="C73" i="4"/>
  <c r="AB72" i="4"/>
  <c r="AC72" i="4" s="1"/>
  <c r="AD72" i="4" s="1"/>
  <c r="Z72" i="4"/>
  <c r="AA72" i="4" s="1"/>
  <c r="Y72" i="4"/>
  <c r="X72" i="4"/>
  <c r="W72" i="4"/>
  <c r="S72" i="4"/>
  <c r="R72" i="4"/>
  <c r="Q72" i="4"/>
  <c r="L72" i="4"/>
  <c r="M72" i="4" s="1"/>
  <c r="K72" i="4"/>
  <c r="C72" i="4"/>
  <c r="AB71" i="4"/>
  <c r="AC71" i="4" s="1"/>
  <c r="Z71" i="4"/>
  <c r="AA71" i="4" s="1"/>
  <c r="Y71" i="4"/>
  <c r="X71" i="4"/>
  <c r="W71" i="4"/>
  <c r="S71" i="4"/>
  <c r="R71" i="4"/>
  <c r="Q71" i="4"/>
  <c r="L71" i="4"/>
  <c r="M71" i="4" s="1"/>
  <c r="K71" i="4"/>
  <c r="C71" i="4"/>
  <c r="AB70" i="4"/>
  <c r="AC70" i="4" s="1"/>
  <c r="AA70" i="4"/>
  <c r="Z70" i="4"/>
  <c r="Y70" i="4"/>
  <c r="X70" i="4"/>
  <c r="W70" i="4"/>
  <c r="R70" i="4"/>
  <c r="S70" i="4" s="1"/>
  <c r="Q70" i="4"/>
  <c r="L70" i="4"/>
  <c r="M70" i="4" s="1"/>
  <c r="K70" i="4"/>
  <c r="C70" i="4"/>
  <c r="AB69" i="4"/>
  <c r="AC69" i="4" s="1"/>
  <c r="H65" i="5" s="1"/>
  <c r="Z69" i="4"/>
  <c r="AA69" i="4" s="1"/>
  <c r="Y69" i="4"/>
  <c r="X69" i="4"/>
  <c r="W69" i="4"/>
  <c r="S69" i="4"/>
  <c r="R69" i="4"/>
  <c r="Q69" i="4"/>
  <c r="L69" i="4"/>
  <c r="M69" i="4" s="1"/>
  <c r="K69" i="4"/>
  <c r="C69" i="4"/>
  <c r="AB67" i="4"/>
  <c r="AC67" i="4" s="1"/>
  <c r="AD67" i="4" s="1"/>
  <c r="Z67" i="4"/>
  <c r="AA67" i="4" s="1"/>
  <c r="Y67" i="4"/>
  <c r="X67" i="4"/>
  <c r="W67" i="4"/>
  <c r="S67" i="4"/>
  <c r="R67" i="4"/>
  <c r="Q67" i="4"/>
  <c r="L67" i="4"/>
  <c r="M67" i="4" s="1"/>
  <c r="K67" i="4"/>
  <c r="C67" i="4"/>
  <c r="AB66" i="4"/>
  <c r="AC66" i="4" s="1"/>
  <c r="Z66" i="4"/>
  <c r="AA66" i="4" s="1"/>
  <c r="Y66" i="4"/>
  <c r="X66" i="4"/>
  <c r="W66" i="4"/>
  <c r="S66" i="4"/>
  <c r="R66" i="4"/>
  <c r="Q66" i="4"/>
  <c r="L66" i="4"/>
  <c r="M66" i="4" s="1"/>
  <c r="K66" i="4"/>
  <c r="C66" i="4"/>
  <c r="AB65" i="4"/>
  <c r="AC65" i="4" s="1"/>
  <c r="AA65" i="4"/>
  <c r="Z65" i="4"/>
  <c r="Y65" i="4"/>
  <c r="X65" i="4"/>
  <c r="W65" i="4"/>
  <c r="R65" i="4"/>
  <c r="S65" i="4" s="1"/>
  <c r="Q65" i="4"/>
  <c r="L65" i="4"/>
  <c r="M65" i="4" s="1"/>
  <c r="K65" i="4"/>
  <c r="C65" i="4"/>
  <c r="AB64" i="4"/>
  <c r="AC64" i="4" s="1"/>
  <c r="H60" i="5" s="1"/>
  <c r="Z64" i="4"/>
  <c r="AA64" i="4" s="1"/>
  <c r="Y64" i="4"/>
  <c r="X64" i="4"/>
  <c r="W64" i="4"/>
  <c r="S64" i="4"/>
  <c r="R64" i="4"/>
  <c r="Q64" i="4"/>
  <c r="L64" i="4"/>
  <c r="M64" i="4" s="1"/>
  <c r="K64" i="4"/>
  <c r="C64" i="4"/>
  <c r="AB63" i="4"/>
  <c r="AC63" i="4" s="1"/>
  <c r="AD63" i="4" s="1"/>
  <c r="Z63" i="4"/>
  <c r="AA63" i="4" s="1"/>
  <c r="Y63" i="4"/>
  <c r="X63" i="4"/>
  <c r="W63" i="4"/>
  <c r="S63" i="4"/>
  <c r="R63" i="4"/>
  <c r="Q63" i="4"/>
  <c r="L63" i="4"/>
  <c r="M63" i="4" s="1"/>
  <c r="K63" i="4"/>
  <c r="C63" i="4"/>
  <c r="AB62" i="4"/>
  <c r="AC62" i="4" s="1"/>
  <c r="Z62" i="4"/>
  <c r="AA62" i="4" s="1"/>
  <c r="Y62" i="4"/>
  <c r="X62" i="4"/>
  <c r="W62" i="4"/>
  <c r="S62" i="4"/>
  <c r="R62" i="4"/>
  <c r="Q62" i="4"/>
  <c r="L62" i="4"/>
  <c r="M62" i="4" s="1"/>
  <c r="K62" i="4"/>
  <c r="C62" i="4"/>
  <c r="AB61" i="4"/>
  <c r="AC61" i="4" s="1"/>
  <c r="AA61" i="4"/>
  <c r="Z61" i="4"/>
  <c r="Y61" i="4"/>
  <c r="X61" i="4"/>
  <c r="W61" i="4"/>
  <c r="R61" i="4"/>
  <c r="S61" i="4" s="1"/>
  <c r="Q61" i="4"/>
  <c r="L61" i="4"/>
  <c r="M61" i="4" s="1"/>
  <c r="K61" i="4"/>
  <c r="C61" i="4"/>
  <c r="AB60" i="4"/>
  <c r="AC60" i="4" s="1"/>
  <c r="H56" i="5" s="1"/>
  <c r="Z60" i="4"/>
  <c r="AA60" i="4" s="1"/>
  <c r="Y60" i="4"/>
  <c r="X60" i="4"/>
  <c r="W60" i="4"/>
  <c r="S60" i="4"/>
  <c r="R60" i="4"/>
  <c r="Q60" i="4"/>
  <c r="L60" i="4"/>
  <c r="M60" i="4" s="1"/>
  <c r="K60" i="4"/>
  <c r="C60" i="4"/>
  <c r="AB59" i="4"/>
  <c r="AC59" i="4" s="1"/>
  <c r="AD59" i="4" s="1"/>
  <c r="Z59" i="4"/>
  <c r="AA59" i="4" s="1"/>
  <c r="Y59" i="4"/>
  <c r="X59" i="4"/>
  <c r="W59" i="4"/>
  <c r="S59" i="4"/>
  <c r="R59" i="4"/>
  <c r="Q59" i="4"/>
  <c r="L59" i="4"/>
  <c r="M59" i="4" s="1"/>
  <c r="K59" i="4"/>
  <c r="C59" i="4"/>
  <c r="AB58" i="4"/>
  <c r="AC58" i="4" s="1"/>
  <c r="Z58" i="4"/>
  <c r="AA58" i="4" s="1"/>
  <c r="Y58" i="4"/>
  <c r="X58" i="4"/>
  <c r="W58" i="4"/>
  <c r="S58" i="4"/>
  <c r="R58" i="4"/>
  <c r="Q58" i="4"/>
  <c r="L58" i="4"/>
  <c r="M58" i="4" s="1"/>
  <c r="K58" i="4"/>
  <c r="C58" i="4"/>
  <c r="AB57" i="4"/>
  <c r="AC57" i="4" s="1"/>
  <c r="AA57" i="4"/>
  <c r="Z57" i="4"/>
  <c r="Y57" i="4"/>
  <c r="X57" i="4"/>
  <c r="W57" i="4"/>
  <c r="R57" i="4"/>
  <c r="S57" i="4" s="1"/>
  <c r="Q57" i="4"/>
  <c r="L57" i="4"/>
  <c r="M57" i="4" s="1"/>
  <c r="K57" i="4"/>
  <c r="C57" i="4"/>
  <c r="AB56" i="4"/>
  <c r="AC56" i="4" s="1"/>
  <c r="H52" i="5" s="1"/>
  <c r="Z56" i="4"/>
  <c r="AA56" i="4" s="1"/>
  <c r="Y56" i="4"/>
  <c r="X56" i="4"/>
  <c r="W56" i="4"/>
  <c r="S56" i="4"/>
  <c r="R56" i="4"/>
  <c r="Q56" i="4"/>
  <c r="L56" i="4"/>
  <c r="M56" i="4" s="1"/>
  <c r="K56" i="4"/>
  <c r="C56" i="4"/>
  <c r="AB55" i="4"/>
  <c r="AC55" i="4" s="1"/>
  <c r="AD55" i="4" s="1"/>
  <c r="Z55" i="4"/>
  <c r="AA55" i="4" s="1"/>
  <c r="Y55" i="4"/>
  <c r="X55" i="4"/>
  <c r="W55" i="4"/>
  <c r="S55" i="4"/>
  <c r="R55" i="4"/>
  <c r="Q55" i="4"/>
  <c r="L55" i="4"/>
  <c r="M55" i="4" s="1"/>
  <c r="K55" i="4"/>
  <c r="C55" i="4"/>
  <c r="AB54" i="4"/>
  <c r="AC54" i="4" s="1"/>
  <c r="Z54" i="4"/>
  <c r="AA54" i="4" s="1"/>
  <c r="Y54" i="4"/>
  <c r="X54" i="4"/>
  <c r="W54" i="4"/>
  <c r="S54" i="4"/>
  <c r="R54" i="4"/>
  <c r="Q54" i="4"/>
  <c r="L54" i="4"/>
  <c r="M54" i="4" s="1"/>
  <c r="K54" i="4"/>
  <c r="C54" i="4"/>
  <c r="AB53" i="4"/>
  <c r="AC53" i="4" s="1"/>
  <c r="AA53" i="4"/>
  <c r="Z53" i="4"/>
  <c r="Y53" i="4"/>
  <c r="X53" i="4"/>
  <c r="W53" i="4"/>
  <c r="S53" i="4"/>
  <c r="R53" i="4"/>
  <c r="Q53" i="4"/>
  <c r="L53" i="4"/>
  <c r="M53" i="4" s="1"/>
  <c r="K53" i="4"/>
  <c r="C53" i="4"/>
  <c r="AB52" i="4"/>
  <c r="AC52" i="4" s="1"/>
  <c r="H48" i="5" s="1"/>
  <c r="Z52" i="4"/>
  <c r="AA52" i="4" s="1"/>
  <c r="Y52" i="4"/>
  <c r="X52" i="4"/>
  <c r="W52" i="4"/>
  <c r="S52" i="4"/>
  <c r="R52" i="4"/>
  <c r="Q52" i="4"/>
  <c r="L52" i="4"/>
  <c r="M52" i="4" s="1"/>
  <c r="K52" i="4"/>
  <c r="C52" i="4"/>
  <c r="AB51" i="4"/>
  <c r="AC51" i="4" s="1"/>
  <c r="Z51" i="4"/>
  <c r="AA51" i="4" s="1"/>
  <c r="Y51" i="4"/>
  <c r="X51" i="4"/>
  <c r="W51" i="4"/>
  <c r="R51" i="4"/>
  <c r="S51" i="4" s="1"/>
  <c r="Q51" i="4"/>
  <c r="L51" i="4"/>
  <c r="M51" i="4" s="1"/>
  <c r="K51" i="4"/>
  <c r="C51" i="4"/>
  <c r="AB50" i="4"/>
  <c r="AC50" i="4" s="1"/>
  <c r="H46" i="5" s="1"/>
  <c r="AA50" i="4"/>
  <c r="Z50" i="4"/>
  <c r="Y50" i="4"/>
  <c r="X50" i="4"/>
  <c r="W50" i="4"/>
  <c r="S50" i="4"/>
  <c r="R50" i="4"/>
  <c r="Q50" i="4"/>
  <c r="L50" i="4"/>
  <c r="M50" i="4" s="1"/>
  <c r="K50" i="4"/>
  <c r="C50" i="4"/>
  <c r="AB49" i="4"/>
  <c r="AC49" i="4" s="1"/>
  <c r="Z49" i="4"/>
  <c r="AA49" i="4" s="1"/>
  <c r="Y49" i="4"/>
  <c r="X49" i="4"/>
  <c r="W49" i="4"/>
  <c r="R49" i="4"/>
  <c r="S49" i="4" s="1"/>
  <c r="Q49" i="4"/>
  <c r="L49" i="4"/>
  <c r="M49" i="4" s="1"/>
  <c r="K49" i="4"/>
  <c r="C49" i="4"/>
  <c r="AB48" i="4"/>
  <c r="AC48" i="4" s="1"/>
  <c r="H44" i="5" s="1"/>
  <c r="Z48" i="4"/>
  <c r="AA48" i="4" s="1"/>
  <c r="Y48" i="4"/>
  <c r="X48" i="4"/>
  <c r="W48" i="4"/>
  <c r="S48" i="4"/>
  <c r="R48" i="4"/>
  <c r="Q48" i="4"/>
  <c r="L48" i="4"/>
  <c r="M48" i="4" s="1"/>
  <c r="K48" i="4"/>
  <c r="C48" i="4"/>
  <c r="AB47" i="4"/>
  <c r="AC47" i="4" s="1"/>
  <c r="H43" i="5" s="1"/>
  <c r="Z47" i="4"/>
  <c r="AA47" i="4" s="1"/>
  <c r="Y47" i="4"/>
  <c r="X47" i="4"/>
  <c r="W47" i="4"/>
  <c r="R47" i="4"/>
  <c r="S47" i="4" s="1"/>
  <c r="Q47" i="4"/>
  <c r="L47" i="4"/>
  <c r="M47" i="4" s="1"/>
  <c r="K47" i="4"/>
  <c r="C47" i="4"/>
  <c r="AB46" i="4"/>
  <c r="AC46" i="4" s="1"/>
  <c r="AA46" i="4"/>
  <c r="Z46" i="4"/>
  <c r="Y46" i="4"/>
  <c r="X46" i="4"/>
  <c r="W46" i="4"/>
  <c r="S46" i="4"/>
  <c r="R46" i="4"/>
  <c r="Q46" i="4"/>
  <c r="L46" i="4"/>
  <c r="M46" i="4" s="1"/>
  <c r="K46" i="4"/>
  <c r="C46" i="4"/>
  <c r="AB45" i="4"/>
  <c r="AC45" i="4" s="1"/>
  <c r="Z45" i="4"/>
  <c r="AA45" i="4" s="1"/>
  <c r="Y45" i="4"/>
  <c r="X45" i="4"/>
  <c r="W45" i="4"/>
  <c r="R45" i="4"/>
  <c r="S45" i="4" s="1"/>
  <c r="Q45" i="4"/>
  <c r="L45" i="4"/>
  <c r="M45" i="4" s="1"/>
  <c r="K45" i="4"/>
  <c r="C45" i="4"/>
  <c r="AB44" i="4"/>
  <c r="AC44" i="4" s="1"/>
  <c r="AA44" i="4"/>
  <c r="Z44" i="4"/>
  <c r="Y44" i="4"/>
  <c r="X44" i="4"/>
  <c r="W44" i="4"/>
  <c r="S44" i="4"/>
  <c r="R44" i="4"/>
  <c r="Q44" i="4"/>
  <c r="L44" i="4"/>
  <c r="M44" i="4" s="1"/>
  <c r="K44" i="4"/>
  <c r="C44" i="4"/>
  <c r="AB43" i="4"/>
  <c r="AC43" i="4" s="1"/>
  <c r="H39" i="5" s="1"/>
  <c r="Z43" i="4"/>
  <c r="AA43" i="4" s="1"/>
  <c r="Y43" i="4"/>
  <c r="X43" i="4"/>
  <c r="W43" i="4"/>
  <c r="R43" i="4"/>
  <c r="S43" i="4" s="1"/>
  <c r="Q43" i="4"/>
  <c r="L43" i="4"/>
  <c r="M43" i="4" s="1"/>
  <c r="K43" i="4"/>
  <c r="C43" i="4"/>
  <c r="AB42" i="4"/>
  <c r="AC42" i="4" s="1"/>
  <c r="AA42" i="4"/>
  <c r="Z42" i="4"/>
  <c r="Y42" i="4"/>
  <c r="X42" i="4"/>
  <c r="W42" i="4"/>
  <c r="S42" i="4"/>
  <c r="R42" i="4"/>
  <c r="Q42" i="4"/>
  <c r="L42" i="4"/>
  <c r="M42" i="4" s="1"/>
  <c r="K42" i="4"/>
  <c r="C42" i="4"/>
  <c r="AB41" i="4"/>
  <c r="AC41" i="4" s="1"/>
  <c r="H37" i="5" s="1"/>
  <c r="Z41" i="4"/>
  <c r="AA41" i="4" s="1"/>
  <c r="Y41" i="4"/>
  <c r="X41" i="4"/>
  <c r="W41" i="4"/>
  <c r="R41" i="4"/>
  <c r="S41" i="4" s="1"/>
  <c r="Q41" i="4"/>
  <c r="L41" i="4"/>
  <c r="M41" i="4" s="1"/>
  <c r="K41" i="4"/>
  <c r="C41" i="4"/>
  <c r="AB40" i="4"/>
  <c r="AC40" i="4" s="1"/>
  <c r="AA40" i="4"/>
  <c r="Z40" i="4"/>
  <c r="Y40" i="4"/>
  <c r="X40" i="4"/>
  <c r="W40" i="4"/>
  <c r="S40" i="4"/>
  <c r="R40" i="4"/>
  <c r="Q40" i="4"/>
  <c r="L40" i="4"/>
  <c r="M40" i="4" s="1"/>
  <c r="K40" i="4"/>
  <c r="C40" i="4"/>
  <c r="AC39" i="4"/>
  <c r="H35" i="5" s="1"/>
  <c r="AB39" i="4"/>
  <c r="Z39" i="4"/>
  <c r="AA39" i="4" s="1"/>
  <c r="Y39" i="4"/>
  <c r="X39" i="4"/>
  <c r="W39" i="4"/>
  <c r="R39" i="4"/>
  <c r="S39" i="4" s="1"/>
  <c r="Q39" i="4"/>
  <c r="L39" i="4"/>
  <c r="M39" i="4" s="1"/>
  <c r="K39" i="4"/>
  <c r="C39" i="4"/>
  <c r="AB38" i="4"/>
  <c r="AC38" i="4" s="1"/>
  <c r="AA38" i="4"/>
  <c r="Z38" i="4"/>
  <c r="Y38" i="4"/>
  <c r="X38" i="4"/>
  <c r="W38" i="4"/>
  <c r="S38" i="4"/>
  <c r="R38" i="4"/>
  <c r="Q38" i="4"/>
  <c r="L38" i="4"/>
  <c r="M38" i="4" s="1"/>
  <c r="K38" i="4"/>
  <c r="C38" i="4"/>
  <c r="AB37" i="4"/>
  <c r="AC37" i="4" s="1"/>
  <c r="H33" i="5" s="1"/>
  <c r="Z37" i="4"/>
  <c r="AA37" i="4" s="1"/>
  <c r="Y37" i="4"/>
  <c r="X37" i="4"/>
  <c r="W37" i="4"/>
  <c r="R37" i="4"/>
  <c r="S37" i="4" s="1"/>
  <c r="Q37" i="4"/>
  <c r="L37" i="4"/>
  <c r="M37" i="4" s="1"/>
  <c r="K37" i="4"/>
  <c r="C37" i="4"/>
  <c r="AB36" i="4"/>
  <c r="AC36" i="4" s="1"/>
  <c r="AA36" i="4"/>
  <c r="Z36" i="4"/>
  <c r="Y36" i="4"/>
  <c r="X36" i="4"/>
  <c r="W36" i="4"/>
  <c r="S36" i="4"/>
  <c r="R36" i="4"/>
  <c r="Q36" i="4"/>
  <c r="L36" i="4"/>
  <c r="M36" i="4" s="1"/>
  <c r="K36" i="4"/>
  <c r="C36" i="4"/>
  <c r="AB35" i="4"/>
  <c r="AC35" i="4" s="1"/>
  <c r="Z35" i="4"/>
  <c r="AA35" i="4" s="1"/>
  <c r="Y35" i="4"/>
  <c r="X35" i="4"/>
  <c r="W35" i="4"/>
  <c r="R35" i="4"/>
  <c r="S35" i="4" s="1"/>
  <c r="Q35" i="4"/>
  <c r="L35" i="4"/>
  <c r="M35" i="4" s="1"/>
  <c r="K35" i="4"/>
  <c r="C35" i="4"/>
  <c r="AB34" i="4"/>
  <c r="AC34" i="4" s="1"/>
  <c r="AA34" i="4"/>
  <c r="Z34" i="4"/>
  <c r="Y34" i="4"/>
  <c r="X34" i="4"/>
  <c r="W34" i="4"/>
  <c r="S34" i="4"/>
  <c r="R34" i="4"/>
  <c r="Q34" i="4"/>
  <c r="L34" i="4"/>
  <c r="M34" i="4" s="1"/>
  <c r="K34" i="4"/>
  <c r="C34" i="4"/>
  <c r="AB33" i="4"/>
  <c r="AC33" i="4" s="1"/>
  <c r="Z33" i="4"/>
  <c r="AA33" i="4" s="1"/>
  <c r="Y33" i="4"/>
  <c r="X33" i="4"/>
  <c r="W33" i="4"/>
  <c r="R33" i="4"/>
  <c r="S33" i="4" s="1"/>
  <c r="Q33" i="4"/>
  <c r="L33" i="4"/>
  <c r="M33" i="4" s="1"/>
  <c r="K33" i="4"/>
  <c r="C33" i="4"/>
  <c r="AB32" i="4"/>
  <c r="AC32" i="4" s="1"/>
  <c r="AA32" i="4"/>
  <c r="Z32" i="4"/>
  <c r="Y32" i="4"/>
  <c r="X32" i="4"/>
  <c r="W32" i="4"/>
  <c r="S32" i="4"/>
  <c r="R32" i="4"/>
  <c r="Q32" i="4"/>
  <c r="L32" i="4"/>
  <c r="M32" i="4" s="1"/>
  <c r="K32" i="4"/>
  <c r="C32" i="4"/>
  <c r="AB31" i="4"/>
  <c r="AC31" i="4" s="1"/>
  <c r="Z31" i="4"/>
  <c r="AA31" i="4" s="1"/>
  <c r="Y31" i="4"/>
  <c r="X31" i="4"/>
  <c r="W31" i="4"/>
  <c r="R31" i="4"/>
  <c r="S31" i="4" s="1"/>
  <c r="Q31" i="4"/>
  <c r="L31" i="4"/>
  <c r="M31" i="4" s="1"/>
  <c r="K31" i="4"/>
  <c r="C31" i="4"/>
  <c r="AB30" i="4"/>
  <c r="AC30" i="4" s="1"/>
  <c r="AA30" i="4"/>
  <c r="Z30" i="4"/>
  <c r="Y30" i="4"/>
  <c r="X30" i="4"/>
  <c r="W30" i="4"/>
  <c r="S30" i="4"/>
  <c r="R30" i="4"/>
  <c r="Q30" i="4"/>
  <c r="L30" i="4"/>
  <c r="M30" i="4" s="1"/>
  <c r="K30" i="4"/>
  <c r="C30" i="4"/>
  <c r="AB29" i="4"/>
  <c r="AC29" i="4" s="1"/>
  <c r="H25" i="5" s="1"/>
  <c r="Z29" i="4"/>
  <c r="AA29" i="4" s="1"/>
  <c r="Y29" i="4"/>
  <c r="X29" i="4"/>
  <c r="W29" i="4"/>
  <c r="R29" i="4"/>
  <c r="S29" i="4" s="1"/>
  <c r="Q29" i="4"/>
  <c r="L29" i="4"/>
  <c r="M29" i="4" s="1"/>
  <c r="K29" i="4"/>
  <c r="C29" i="4"/>
  <c r="AB28" i="4"/>
  <c r="AC28" i="4" s="1"/>
  <c r="AA28" i="4"/>
  <c r="Z28" i="4"/>
  <c r="Y28" i="4"/>
  <c r="X28" i="4"/>
  <c r="W28" i="4"/>
  <c r="R28" i="4"/>
  <c r="S28" i="4" s="1"/>
  <c r="Q28" i="4"/>
  <c r="L28" i="4"/>
  <c r="M28" i="4" s="1"/>
  <c r="K28" i="4"/>
  <c r="C28" i="4"/>
  <c r="AB27" i="4"/>
  <c r="AC27" i="4" s="1"/>
  <c r="H23" i="5" s="1"/>
  <c r="Z27" i="4"/>
  <c r="AA27" i="4" s="1"/>
  <c r="Y27" i="4"/>
  <c r="X27" i="4"/>
  <c r="W27" i="4"/>
  <c r="R27" i="4"/>
  <c r="S27" i="4" s="1"/>
  <c r="Q27" i="4"/>
  <c r="L27" i="4"/>
  <c r="M27" i="4" s="1"/>
  <c r="K27" i="4"/>
  <c r="C27" i="4"/>
  <c r="AB26" i="4"/>
  <c r="AC26" i="4" s="1"/>
  <c r="AA26" i="4"/>
  <c r="Z26" i="4"/>
  <c r="Y26" i="4"/>
  <c r="X26" i="4"/>
  <c r="W26" i="4"/>
  <c r="S26" i="4"/>
  <c r="R26" i="4"/>
  <c r="Q26" i="4"/>
  <c r="L26" i="4"/>
  <c r="M26" i="4" s="1"/>
  <c r="K26" i="4"/>
  <c r="C26" i="4"/>
  <c r="AB25" i="4"/>
  <c r="AC25" i="4" s="1"/>
  <c r="Z25" i="4"/>
  <c r="AA25" i="4" s="1"/>
  <c r="Y25" i="4"/>
  <c r="X25" i="4"/>
  <c r="W25" i="4"/>
  <c r="R25" i="4"/>
  <c r="S25" i="4" s="1"/>
  <c r="Q25" i="4"/>
  <c r="L25" i="4"/>
  <c r="M25" i="4" s="1"/>
  <c r="K25" i="4"/>
  <c r="C25" i="4"/>
  <c r="AB24" i="4"/>
  <c r="AC24" i="4" s="1"/>
  <c r="AA24" i="4"/>
  <c r="Z24" i="4"/>
  <c r="Y24" i="4"/>
  <c r="X24" i="4"/>
  <c r="W24" i="4"/>
  <c r="R24" i="4"/>
  <c r="S24" i="4" s="1"/>
  <c r="Q24" i="4"/>
  <c r="L24" i="4"/>
  <c r="M24" i="4" s="1"/>
  <c r="K24" i="4"/>
  <c r="C24" i="4"/>
  <c r="AB23" i="4"/>
  <c r="AC23" i="4" s="1"/>
  <c r="H19" i="5" s="1"/>
  <c r="Z23" i="4"/>
  <c r="AA23" i="4" s="1"/>
  <c r="Y23" i="4"/>
  <c r="X23" i="4"/>
  <c r="W23" i="4"/>
  <c r="R23" i="4"/>
  <c r="S23" i="4" s="1"/>
  <c r="Q23" i="4"/>
  <c r="L23" i="4"/>
  <c r="M23" i="4" s="1"/>
  <c r="K23" i="4"/>
  <c r="C23" i="4"/>
  <c r="AB22" i="4"/>
  <c r="AC22" i="4" s="1"/>
  <c r="AA22" i="4"/>
  <c r="Z22" i="4"/>
  <c r="Y22" i="4"/>
  <c r="X22" i="4"/>
  <c r="W22" i="4"/>
  <c r="R22" i="4"/>
  <c r="S22" i="4" s="1"/>
  <c r="Q22" i="4"/>
  <c r="L22" i="4"/>
  <c r="M22" i="4" s="1"/>
  <c r="K22" i="4"/>
  <c r="C22" i="4"/>
  <c r="AB21" i="4"/>
  <c r="AC21" i="4" s="1"/>
  <c r="H17" i="5" s="1"/>
  <c r="Z21" i="4"/>
  <c r="AA21" i="4" s="1"/>
  <c r="Y21" i="4"/>
  <c r="X21" i="4"/>
  <c r="W21" i="4"/>
  <c r="R21" i="4"/>
  <c r="S21" i="4" s="1"/>
  <c r="Q21" i="4"/>
  <c r="L21" i="4"/>
  <c r="M21" i="4" s="1"/>
  <c r="K21" i="4"/>
  <c r="C21" i="4"/>
  <c r="AB20" i="4"/>
  <c r="AC20" i="4" s="1"/>
  <c r="AA20" i="4"/>
  <c r="Z20" i="4"/>
  <c r="Y20" i="4"/>
  <c r="X20" i="4"/>
  <c r="W20" i="4"/>
  <c r="S20" i="4"/>
  <c r="R20" i="4"/>
  <c r="Q20" i="4"/>
  <c r="L20" i="4"/>
  <c r="M20" i="4" s="1"/>
  <c r="K20" i="4"/>
  <c r="C20" i="4"/>
  <c r="AB19" i="4"/>
  <c r="AC19" i="4" s="1"/>
  <c r="Z19" i="4"/>
  <c r="AA19" i="4" s="1"/>
  <c r="Y19" i="4"/>
  <c r="X19" i="4"/>
  <c r="W19" i="4"/>
  <c r="R19" i="4"/>
  <c r="S19" i="4" s="1"/>
  <c r="Q19" i="4"/>
  <c r="L19" i="4"/>
  <c r="M19" i="4" s="1"/>
  <c r="K19" i="4"/>
  <c r="C19" i="4"/>
  <c r="AA18" i="4"/>
  <c r="Z18" i="4"/>
  <c r="Y18" i="4"/>
  <c r="X18" i="4"/>
  <c r="W18" i="4"/>
  <c r="R18" i="4"/>
  <c r="S18" i="4" s="1"/>
  <c r="Q18" i="4"/>
  <c r="K18" i="4"/>
  <c r="L18" i="4" s="1"/>
  <c r="M18" i="4" s="1"/>
  <c r="AB18" i="4" s="1"/>
  <c r="AC18" i="4" s="1"/>
  <c r="C18" i="4"/>
  <c r="Q15" i="4"/>
  <c r="K15" i="4"/>
  <c r="F15" i="5" l="1"/>
  <c r="F14" i="5"/>
  <c r="AD113" i="4"/>
  <c r="AD39" i="4"/>
  <c r="AD41" i="4"/>
  <c r="H31" i="5"/>
  <c r="AD35" i="4"/>
  <c r="H95" i="5"/>
  <c r="AD99" i="4"/>
  <c r="H91" i="5"/>
  <c r="AD95" i="4"/>
  <c r="H111" i="5"/>
  <c r="AD115" i="4"/>
  <c r="H15" i="5"/>
  <c r="AD19" i="4"/>
  <c r="H21" i="5"/>
  <c r="I21" i="5" s="1"/>
  <c r="J21" i="5" s="1"/>
  <c r="AD25" i="4"/>
  <c r="H87" i="5"/>
  <c r="AD91" i="4"/>
  <c r="H29" i="5"/>
  <c r="I29" i="5" s="1"/>
  <c r="AD33" i="4"/>
  <c r="H27" i="5"/>
  <c r="AD31" i="4"/>
  <c r="H41" i="5"/>
  <c r="AD45" i="4"/>
  <c r="H99" i="5"/>
  <c r="AD103" i="4"/>
  <c r="AD29" i="4"/>
  <c r="AD89" i="4"/>
  <c r="AD37" i="4"/>
  <c r="AD97" i="4"/>
  <c r="AD27" i="4"/>
  <c r="AD43" i="4"/>
  <c r="AD105" i="4"/>
  <c r="AD109" i="4"/>
  <c r="AD21" i="4"/>
  <c r="AD23" i="4"/>
  <c r="AD47" i="4"/>
  <c r="AD52" i="4"/>
  <c r="AD111" i="4"/>
  <c r="I37" i="5"/>
  <c r="J37" i="5" s="1"/>
  <c r="I17" i="5"/>
  <c r="I87" i="5"/>
  <c r="H14" i="5"/>
  <c r="AD18" i="4"/>
  <c r="H16" i="5"/>
  <c r="AD20" i="4"/>
  <c r="H22" i="5"/>
  <c r="I22" i="5" s="1"/>
  <c r="AD26" i="4"/>
  <c r="H26" i="5"/>
  <c r="AD30" i="4"/>
  <c r="I73" i="5"/>
  <c r="H28" i="5"/>
  <c r="AD32" i="4"/>
  <c r="H30" i="5"/>
  <c r="AD34" i="4"/>
  <c r="I33" i="5"/>
  <c r="H20" i="5"/>
  <c r="I20" i="5" s="1"/>
  <c r="AD24" i="4"/>
  <c r="H34" i="5"/>
  <c r="AD38" i="4"/>
  <c r="H98" i="5"/>
  <c r="AD102" i="4"/>
  <c r="H36" i="5"/>
  <c r="AD40" i="4"/>
  <c r="H38" i="5"/>
  <c r="AD42" i="4"/>
  <c r="H24" i="5"/>
  <c r="I24" i="5" s="1"/>
  <c r="AD28" i="4"/>
  <c r="H40" i="5"/>
  <c r="I40" i="5" s="1"/>
  <c r="AD44" i="4"/>
  <c r="H42" i="5"/>
  <c r="AD46" i="4"/>
  <c r="AD49" i="4"/>
  <c r="H45" i="5"/>
  <c r="I45" i="5" s="1"/>
  <c r="AD51" i="4"/>
  <c r="H47" i="5"/>
  <c r="AD53" i="4"/>
  <c r="H49" i="5"/>
  <c r="H50" i="5"/>
  <c r="AD54" i="4"/>
  <c r="H54" i="5"/>
  <c r="I54" i="5" s="1"/>
  <c r="AD58" i="4"/>
  <c r="H58" i="5"/>
  <c r="AD62" i="4"/>
  <c r="H62" i="5"/>
  <c r="I62" i="5" s="1"/>
  <c r="AD66" i="4"/>
  <c r="H67" i="5"/>
  <c r="AD71" i="4"/>
  <c r="H71" i="5"/>
  <c r="AD75" i="4"/>
  <c r="H75" i="5"/>
  <c r="AD79" i="4"/>
  <c r="H79" i="5"/>
  <c r="I79" i="5" s="1"/>
  <c r="AD83" i="4"/>
  <c r="AD57" i="4"/>
  <c r="H53" i="5"/>
  <c r="I53" i="5" s="1"/>
  <c r="J53" i="5" s="1"/>
  <c r="AD61" i="4"/>
  <c r="H57" i="5"/>
  <c r="I57" i="5" s="1"/>
  <c r="J57" i="5" s="1"/>
  <c r="AD65" i="4"/>
  <c r="H61" i="5"/>
  <c r="AD70" i="4"/>
  <c r="H66" i="5"/>
  <c r="I66" i="5" s="1"/>
  <c r="AD74" i="4"/>
  <c r="H70" i="5"/>
  <c r="I70" i="5" s="1"/>
  <c r="AD78" i="4"/>
  <c r="H74" i="5"/>
  <c r="AD82" i="4"/>
  <c r="H78" i="5"/>
  <c r="I78" i="5" s="1"/>
  <c r="AD86" i="4"/>
  <c r="H82" i="5"/>
  <c r="I82" i="5" s="1"/>
  <c r="H18" i="5"/>
  <c r="I18" i="5" s="1"/>
  <c r="AD22" i="4"/>
  <c r="H90" i="5"/>
  <c r="I90" i="5" s="1"/>
  <c r="AD94" i="4"/>
  <c r="H114" i="5"/>
  <c r="AD118" i="4"/>
  <c r="I103" i="5"/>
  <c r="H32" i="5"/>
  <c r="AD36" i="4"/>
  <c r="H92" i="5"/>
  <c r="AD96" i="4"/>
  <c r="H94" i="5"/>
  <c r="I94" i="5" s="1"/>
  <c r="J94" i="5" s="1"/>
  <c r="AD98" i="4"/>
  <c r="H106" i="5"/>
  <c r="I106" i="5" s="1"/>
  <c r="J106" i="5" s="1"/>
  <c r="AD110" i="4"/>
  <c r="AD48" i="4"/>
  <c r="AD60" i="4"/>
  <c r="AD69" i="4"/>
  <c r="AD77" i="4"/>
  <c r="AD85" i="4"/>
  <c r="H96" i="5"/>
  <c r="I96" i="5" s="1"/>
  <c r="AD100" i="4"/>
  <c r="AD101" i="4"/>
  <c r="H108" i="5"/>
  <c r="I108" i="5" s="1"/>
  <c r="AD112" i="4"/>
  <c r="AD87" i="4"/>
  <c r="H86" i="5"/>
  <c r="H110" i="5"/>
  <c r="I110" i="5" s="1"/>
  <c r="AD114" i="4"/>
  <c r="H100" i="5"/>
  <c r="AD104" i="4"/>
  <c r="H102" i="5"/>
  <c r="AD106" i="4"/>
  <c r="AD50" i="4"/>
  <c r="AD56" i="4"/>
  <c r="AD64" i="4"/>
  <c r="AD73" i="4"/>
  <c r="AD81" i="4"/>
  <c r="AD107" i="4"/>
  <c r="H112" i="5"/>
  <c r="I112" i="5" s="1"/>
  <c r="AD116" i="4"/>
  <c r="AD117" i="4"/>
  <c r="AD93" i="4"/>
  <c r="H104" i="5"/>
  <c r="I104" i="5" s="1"/>
  <c r="AD108" i="4"/>
  <c r="H51" i="5"/>
  <c r="H55" i="5"/>
  <c r="H59" i="5"/>
  <c r="H63" i="5"/>
  <c r="H68" i="5"/>
  <c r="H72" i="5"/>
  <c r="H76" i="5"/>
  <c r="H80" i="5"/>
  <c r="H84" i="5"/>
  <c r="I84" i="5" s="1"/>
  <c r="H88" i="5"/>
  <c r="I114" i="5" l="1"/>
  <c r="J114" i="5" s="1"/>
  <c r="J66" i="5"/>
  <c r="J90" i="5"/>
  <c r="I63" i="5"/>
  <c r="J63" i="5" s="1"/>
  <c r="I19" i="5"/>
  <c r="J19" i="5" s="1"/>
  <c r="I100" i="5"/>
  <c r="J100" i="5" s="1"/>
  <c r="J22" i="5"/>
  <c r="I102" i="5"/>
  <c r="J102" i="5" s="1"/>
  <c r="I26" i="5"/>
  <c r="J26" i="5" s="1"/>
  <c r="I69" i="5"/>
  <c r="J69" i="5" s="1"/>
  <c r="I88" i="5"/>
  <c r="J88" i="5" s="1"/>
  <c r="I85" i="5"/>
  <c r="J85" i="5" s="1"/>
  <c r="I107" i="5"/>
  <c r="J107" i="5" s="1"/>
  <c r="I75" i="5"/>
  <c r="J75" i="5" s="1"/>
  <c r="I95" i="5"/>
  <c r="J95" i="5" s="1"/>
  <c r="I61" i="5"/>
  <c r="J61" i="5" s="1"/>
  <c r="I83" i="5"/>
  <c r="J83" i="5" s="1"/>
  <c r="I81" i="5"/>
  <c r="J81" i="5" s="1"/>
  <c r="I80" i="5"/>
  <c r="J80" i="5" s="1"/>
  <c r="I56" i="5"/>
  <c r="J56" i="5" s="1"/>
  <c r="I34" i="5"/>
  <c r="J34" i="5" s="1"/>
  <c r="I77" i="5"/>
  <c r="J77" i="5" s="1"/>
  <c r="I76" i="5"/>
  <c r="J76" i="5" s="1"/>
  <c r="J62" i="5"/>
  <c r="J87" i="5"/>
  <c r="I30" i="5"/>
  <c r="J30" i="5" s="1"/>
  <c r="I71" i="5"/>
  <c r="J71" i="5" s="1"/>
  <c r="I86" i="5"/>
  <c r="J86" i="5" s="1"/>
  <c r="I50" i="5"/>
  <c r="J50" i="5" s="1"/>
  <c r="I60" i="5"/>
  <c r="J60" i="5" s="1"/>
  <c r="I97" i="5"/>
  <c r="J97" i="5" s="1"/>
  <c r="I38" i="5"/>
  <c r="J38" i="5" s="1"/>
  <c r="I27" i="5"/>
  <c r="J27" i="5" s="1"/>
  <c r="I55" i="5"/>
  <c r="J55" i="5" s="1"/>
  <c r="I46" i="5"/>
  <c r="J46" i="5" s="1"/>
  <c r="I58" i="5"/>
  <c r="J58" i="5" s="1"/>
  <c r="I42" i="5"/>
  <c r="J42" i="5" s="1"/>
  <c r="I91" i="5"/>
  <c r="J91" i="5" s="1"/>
  <c r="I43" i="5"/>
  <c r="J43" i="5" s="1"/>
  <c r="J103" i="5"/>
  <c r="J45" i="5"/>
  <c r="J110" i="5"/>
  <c r="I23" i="5"/>
  <c r="J23" i="5" s="1"/>
  <c r="I89" i="5"/>
  <c r="J89" i="5" s="1"/>
  <c r="I111" i="5"/>
  <c r="J111" i="5" s="1"/>
  <c r="I31" i="5"/>
  <c r="J31" i="5" s="1"/>
  <c r="I113" i="5"/>
  <c r="J113" i="5" s="1"/>
  <c r="I99" i="5"/>
  <c r="J99" i="5" s="1"/>
  <c r="I49" i="5"/>
  <c r="J49" i="5" s="1"/>
  <c r="J29" i="5"/>
  <c r="I39" i="5"/>
  <c r="J39" i="5" s="1"/>
  <c r="I68" i="5"/>
  <c r="J68" i="5" s="1"/>
  <c r="I93" i="5"/>
  <c r="J93" i="5" s="1"/>
  <c r="J82" i="5"/>
  <c r="J17" i="5"/>
  <c r="I98" i="5"/>
  <c r="J98" i="5" s="1"/>
  <c r="I74" i="5"/>
  <c r="J74" i="5" s="1"/>
  <c r="I67" i="5"/>
  <c r="J67" i="5" s="1"/>
  <c r="J70" i="5"/>
  <c r="J18" i="5"/>
  <c r="I92" i="5"/>
  <c r="J92" i="5" s="1"/>
  <c r="J33" i="5"/>
  <c r="I47" i="5"/>
  <c r="J47" i="5" s="1"/>
  <c r="I65" i="5"/>
  <c r="J65" i="5" s="1"/>
  <c r="I51" i="5"/>
  <c r="J51" i="5" s="1"/>
  <c r="I109" i="5"/>
  <c r="J109" i="5" s="1"/>
  <c r="I25" i="5"/>
  <c r="J25" i="5" s="1"/>
  <c r="I41" i="5"/>
  <c r="J41" i="5" s="1"/>
  <c r="I44" i="5"/>
  <c r="J44" i="5" s="1"/>
  <c r="I16" i="5"/>
  <c r="J16" i="5" s="1"/>
  <c r="I52" i="5"/>
  <c r="J52" i="5" s="1"/>
  <c r="I105" i="5"/>
  <c r="J105" i="5" s="1"/>
  <c r="I28" i="5"/>
  <c r="J28" i="5" s="1"/>
  <c r="I36" i="5"/>
  <c r="J36" i="5" s="1"/>
  <c r="I32" i="5"/>
  <c r="J32" i="5" s="1"/>
  <c r="I101" i="5"/>
  <c r="J101" i="5" s="1"/>
  <c r="I15" i="5"/>
  <c r="J15" i="5" s="1"/>
  <c r="I35" i="5"/>
  <c r="J35" i="5" s="1"/>
  <c r="J78" i="5"/>
  <c r="I72" i="5"/>
  <c r="J72" i="5" s="1"/>
  <c r="I48" i="5"/>
  <c r="J48" i="5" s="1"/>
  <c r="I59" i="5"/>
  <c r="J59" i="5" s="1"/>
  <c r="I14" i="5"/>
  <c r="J79" i="5"/>
  <c r="J54" i="5"/>
  <c r="J96" i="5"/>
  <c r="J40" i="5"/>
  <c r="J108" i="5"/>
  <c r="J104" i="5"/>
  <c r="J24" i="5"/>
  <c r="J84" i="5"/>
  <c r="J73" i="5"/>
  <c r="J112" i="5"/>
  <c r="J20" i="5"/>
  <c r="J14" i="5" l="1"/>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<sst xmlns="http://schemas.openxmlformats.org/spreadsheetml/2006/main" count="210" uniqueCount="67">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</sst>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font>
    <font>
      <sz val="22"/>
      <color theme="1"/>
      <name val="Arial"/>
      <family val="2"/>
    </font>
    <font>
      <b/>
      <sz val="22"/>
      <color rgb="FFFF0000"/>
      <name val="Arial"/>
      <family val="2"/>
    </font>
    <font>
      <sz val="12"/>
      <color theme="1"/>
      <name val="Arial"/>
      <family val="2"/>
    </font>
    <font>
      <b/>
      <sz val="13"/>
      <color rgb="FFFFFFFF"/>
      <name val="Arial"/>
      <family val="2"/>
    </font>
    <font>
      <sz val="13"/>
      <color theme="1"/>
      <name val="Arial"/>
      <family val="2"/>
    </font>
    <font>
      <b/>
      <sz val="12"/>
      <color rgb="FF000000"/>
      <name val="Arial"/>
      <family val="2"/>
    </font>
    <font>
      <b/>
      <sz val="12"/>
      <color theme="1"/>
      <name val="Arial"/>
      <family val="2"/>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font>
    <font>
      <sz val="9"/>
      <color theme="1"/>
      <name val="Arial"/>
      <family val="2"/>
    </font>
    <font>
      <b/>
      <sz val="9"/>
      <color theme="1"/>
      <name val="Arial"/>
      <family val="2"/>
    </font>
    <font>
      <sz val="12"/>
      <color theme="1"/>
      <name val="Arial"/>
      <family val="2"/>
    </font>
    <font>
      <b/>
      <sz val="26"/>
      <color rgb="FF000000"/>
      <name val="Arial"/>
      <family val="2"/>
    </font>
    <font>
      <b/>
      <sz val="10"/>
      <color rgb="FF000000"/>
      <name val="Arial"/>
      <family val="2"/>
    </font>
    <font>
      <b/>
      <sz val="23"/>
      <color rgb="FF002060"/>
      <name val="Arial"/>
      <family val="2"/>
    </font>
    <font>
      <b/>
      <sz val="12"/>
      <color theme="1"/>
      <name val="Arial"/>
      <family val="2"/>
    </font>
    <font>
      <b/>
      <sz val="12"/>
      <color rgb="FFFF0000"/>
      <name val="Arial"/>
      <family val="2"/>
    </font>
  </fonts>
  <fills count="23">
    <fill>
      <patternFill patternType="none"/>
    </fill>
    <fill>
      <patternFill patternType="gray125"/>
    </fill>
    <fill>
      <patternFill patternType="solid">
        <fgColor rgb="FFE7E6E6"/>
      </patternFill>
    </fill>
    <fill>
      <patternFill patternType="solid">
        <fgColor rgb="FF002060"/>
      </patternFill>
    </fill>
    <fill>
      <patternFill patternType="solid">
        <fgColor rgb="FFF2F2F2"/>
      </patternFill>
    </fill>
    <fill>
      <patternFill patternType="solid">
        <fgColor rgb="FFFFFFFF"/>
      </patternFill>
    </fill>
    <fill>
      <patternFill patternType="solid">
        <fgColor rgb="FFC9DAF8"/>
      </patternFill>
    </fill>
    <fill>
      <patternFill patternType="solid">
        <fgColor rgb="FFF3F3F3"/>
      </patternFill>
    </fill>
    <fill>
      <patternFill patternType="solid">
        <fgColor rgb="FFECECEC"/>
      </patternFill>
    </fill>
    <fill>
      <patternFill patternType="solid">
        <fgColor rgb="FF999999"/>
      </patternFill>
    </fill>
    <fill>
      <patternFill patternType="solid">
        <fgColor rgb="FFCFE2F3"/>
      </patternFill>
    </fill>
    <fill>
      <patternFill patternType="solid">
        <fgColor rgb="FF666666"/>
      </patternFill>
    </fill>
    <fill>
      <patternFill patternType="solid">
        <fgColor rgb="FFFFF2CC"/>
      </patternFill>
    </fill>
    <fill>
      <patternFill patternType="solid">
        <fgColor rgb="FFCC0000"/>
      </patternFill>
    </fill>
    <fill>
      <patternFill patternType="solid">
        <fgColor rgb="FF0B5394"/>
      </patternFill>
    </fill>
    <fill>
      <patternFill patternType="solid">
        <fgColor rgb="FFB6D7A8"/>
      </patternFill>
    </fill>
    <fill>
      <patternFill patternType="solid">
        <fgColor rgb="FF002060"/>
      </patternFill>
    </fill>
    <fill>
      <patternFill patternType="solid">
        <fgColor rgb="FF002060"/>
      </patternFill>
    </fill>
    <fill>
      <patternFill patternType="solid">
        <fgColor rgb="FF002060"/>
      </patternFill>
    </fill>
    <fill>
      <patternFill patternType="solid">
        <fgColor theme="0" tint="-4.9989318521683403E-2"/>
        <bgColor indexed="65"/>
      </patternFill>
    </fill>
    <fill>
      <patternFill patternType="solid">
        <fgColor theme="0" tint="-4.9989318521683403E-2"/>
        <bgColor indexed="65"/>
      </patternFill>
    </fill>
    <fill>
      <patternFill patternType="solid">
        <fgColor theme="0" tint="-0.249977111117893"/>
        <bgColor indexed="65"/>
      </patternFill>
    </fill>
    <fill>
      <patternFill patternType="solid">
        <fgColor theme="0" tint="-0.14999847407452621"/>
        <bgColor indexed="64"/>
      </patternFill>
    </fill>
  </fills>
  <borders count="141">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thin">
        <color indexed="64"/>
      </top>
      <bottom style="thin">
        <color rgb="FF000000"/>
      </bottom>
      <diagonal/>
    </border>
    <border>
      <left/>
      <right style="thin">
        <color rgb="FF000000"/>
      </right>
      <top style="medium">
        <color indexed="64"/>
      </top>
      <bottom style="thin">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right style="medium">
        <color rgb="FF000000"/>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rgb="FF000000"/>
      </left>
      <right style="medium">
        <color rgb="FF000000"/>
      </right>
      <top style="medium">
        <color indexed="64"/>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rgb="FF000000"/>
      </right>
      <top style="thin">
        <color rgb="FF000000"/>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33"/>
  </cellStyleXfs>
  <cellXfs count="283">
    <xf numFmtId="0" fontId="0" fillId="0" borderId="0" xfId="0" applyBorder="1"/>
    <xf numFmtId="0" fontId="2" fillId="0" borderId="0" xfId="0" applyFont="1" applyBorder="1" applyAlignment="1">
      <alignment vertical="center"/>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1" xfId="0" applyFont="1" applyFill="1" applyBorder="1"/>
    <xf numFmtId="0" fontId="6" fillId="5" borderId="23" xfId="0" applyFont="1" applyFill="1" applyBorder="1"/>
    <xf numFmtId="0" fontId="6" fillId="5" borderId="25" xfId="0" applyFont="1" applyFill="1" applyBorder="1" applyAlignment="1">
      <alignment horizontal="center"/>
    </xf>
    <xf numFmtId="0" fontId="6" fillId="5" borderId="27" xfId="0" applyFont="1" applyFill="1" applyBorder="1"/>
    <xf numFmtId="0" fontId="6" fillId="5" borderId="28" xfId="0" applyFont="1" applyFill="1" applyBorder="1" applyAlignment="1">
      <alignment horizontal="center"/>
    </xf>
    <xf numFmtId="0" fontId="6" fillId="5" borderId="31" xfId="0" applyFont="1" applyFill="1" applyBorder="1"/>
    <xf numFmtId="0" fontId="6" fillId="5" borderId="32" xfId="0" applyFont="1" applyFill="1" applyBorder="1" applyAlignment="1">
      <alignment horizontal="center"/>
    </xf>
    <xf numFmtId="0" fontId="2" fillId="4" borderId="33"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40" xfId="0" applyFont="1" applyBorder="1" applyAlignment="1">
      <alignment horizontal="center"/>
    </xf>
    <xf numFmtId="0" fontId="21" fillId="0" borderId="41" xfId="0" applyFont="1" applyBorder="1" applyAlignment="1">
      <alignment horizontal="center"/>
    </xf>
    <xf numFmtId="0" fontId="20" fillId="0" borderId="44" xfId="0" applyFont="1" applyBorder="1" applyAlignment="1">
      <alignment horizontal="center"/>
    </xf>
    <xf numFmtId="0" fontId="21" fillId="0" borderId="45"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7" xfId="0" applyFont="1" applyFill="1" applyBorder="1"/>
    <xf numFmtId="0" fontId="2" fillId="4" borderId="8" xfId="0" applyFont="1" applyFill="1" applyBorder="1"/>
    <xf numFmtId="0" fontId="2" fillId="4" borderId="48"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8" borderId="21" xfId="0" applyFont="1" applyFill="1" applyBorder="1"/>
    <xf numFmtId="0" fontId="2" fillId="8" borderId="8" xfId="0" applyFont="1" applyFill="1" applyBorder="1"/>
    <xf numFmtId="2" fontId="20" fillId="0" borderId="56" xfId="0" applyNumberFormat="1" applyFont="1" applyBorder="1" applyAlignment="1">
      <alignment horizontal="center"/>
    </xf>
    <xf numFmtId="0" fontId="20" fillId="0" borderId="56" xfId="0" applyFont="1" applyBorder="1" applyAlignment="1">
      <alignment horizontal="center"/>
    </xf>
    <xf numFmtId="0" fontId="20" fillId="15" borderId="56" xfId="0" applyFont="1" applyFill="1" applyBorder="1" applyAlignment="1">
      <alignment horizontal="center"/>
    </xf>
    <xf numFmtId="2" fontId="20" fillId="0" borderId="57" xfId="0" applyNumberFormat="1" applyFont="1" applyBorder="1" applyAlignment="1">
      <alignment horizontal="center"/>
    </xf>
    <xf numFmtId="0" fontId="20" fillId="0" borderId="58" xfId="0"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0" fontId="20" fillId="15" borderId="58" xfId="0" applyFont="1" applyFill="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2" fontId="20" fillId="0" borderId="62" xfId="0" applyNumberFormat="1" applyFont="1" applyBorder="1" applyAlignment="1">
      <alignment horizontal="center"/>
    </xf>
    <xf numFmtId="0" fontId="20" fillId="0" borderId="63" xfId="0" applyFont="1" applyBorder="1" applyAlignment="1">
      <alignment horizontal="center"/>
    </xf>
    <xf numFmtId="0" fontId="20" fillId="0" borderId="64" xfId="0" applyFont="1" applyBorder="1" applyAlignment="1">
      <alignment horizontal="center"/>
    </xf>
    <xf numFmtId="0" fontId="19"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20" fillId="0" borderId="68" xfId="0" applyFont="1" applyBorder="1" applyAlignment="1">
      <alignment horizontal="center"/>
    </xf>
    <xf numFmtId="0" fontId="21" fillId="0" borderId="69" xfId="0" applyFont="1" applyBorder="1" applyAlignment="1">
      <alignment horizontal="center"/>
    </xf>
    <xf numFmtId="0" fontId="19"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vertical="center" wrapText="1"/>
    </xf>
    <xf numFmtId="0" fontId="8" fillId="5" borderId="6" xfId="0" applyFont="1" applyFill="1" applyBorder="1" applyAlignment="1">
      <alignment vertical="center"/>
    </xf>
    <xf numFmtId="0" fontId="2" fillId="4" borderId="33" xfId="0" applyFont="1" applyFill="1" applyAlignment="1">
      <alignment horizontal="left"/>
    </xf>
    <xf numFmtId="0" fontId="6" fillId="5" borderId="27" xfId="0" applyFont="1" applyFill="1" applyBorder="1" applyAlignment="1">
      <alignment vertical="center"/>
    </xf>
    <xf numFmtId="0" fontId="6" fillId="5" borderId="28" xfId="0" applyFont="1" applyFill="1" applyBorder="1" applyAlignment="1">
      <alignment horizontal="center" vertical="center"/>
    </xf>
    <xf numFmtId="0" fontId="6" fillId="5" borderId="23" xfId="0" applyFont="1" applyFill="1" applyBorder="1" applyAlignment="1">
      <alignment vertical="center"/>
    </xf>
    <xf numFmtId="0" fontId="6" fillId="5" borderId="25" xfId="0" applyFont="1" applyFill="1" applyBorder="1" applyAlignment="1">
      <alignment horizontal="center" vertical="center"/>
    </xf>
    <xf numFmtId="0" fontId="2" fillId="8" borderId="13" xfId="0" applyFont="1" applyFill="1" applyBorder="1"/>
    <xf numFmtId="0" fontId="8" fillId="5" borderId="28" xfId="0" applyFont="1" applyFill="1" applyBorder="1" applyAlignment="1">
      <alignment horizontal="left"/>
    </xf>
    <xf numFmtId="0" fontId="2" fillId="0" borderId="0" xfId="0" applyFont="1" applyBorder="1"/>
    <xf numFmtId="0" fontId="0" fillId="0" borderId="0" xfId="0" applyBorder="1"/>
    <xf numFmtId="0" fontId="24" fillId="7" borderId="30" xfId="0" applyFont="1" applyFill="1" applyBorder="1" applyAlignment="1" applyProtection="1">
      <alignment horizontal="center" vertical="center"/>
      <protection hidden="1"/>
    </xf>
    <xf numFmtId="0" fontId="28" fillId="7" borderId="5" xfId="0" applyFont="1" applyFill="1" applyBorder="1" applyAlignment="1" applyProtection="1">
      <alignment horizontal="center" vertical="center"/>
      <protection hidden="1"/>
    </xf>
    <xf numFmtId="0" fontId="28" fillId="7" borderId="78" xfId="0" applyFont="1" applyFill="1" applyBorder="1" applyAlignment="1" applyProtection="1">
      <alignment horizontal="center" vertical="center"/>
      <protection hidden="1"/>
    </xf>
    <xf numFmtId="0" fontId="28" fillId="7" borderId="79" xfId="0" applyFont="1" applyFill="1" applyBorder="1" applyAlignment="1" applyProtection="1">
      <alignment horizontal="center" vertical="center"/>
      <protection hidden="1"/>
    </xf>
    <xf numFmtId="0" fontId="28" fillId="7" borderId="6" xfId="0" applyFont="1" applyFill="1" applyBorder="1" applyAlignment="1" applyProtection="1">
      <alignment horizontal="center" vertical="center"/>
      <protection hidden="1"/>
    </xf>
    <xf numFmtId="0" fontId="28" fillId="7" borderId="27" xfId="0" applyFont="1" applyFill="1" applyBorder="1" applyAlignment="1" applyProtection="1">
      <alignment horizontal="center" vertical="center"/>
      <protection hidden="1"/>
    </xf>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84" xfId="0" applyFont="1" applyFill="1" applyBorder="1" applyAlignment="1" applyProtection="1">
      <alignment horizontal="center" vertical="center"/>
      <protection hidden="1"/>
    </xf>
    <xf numFmtId="0" fontId="28" fillId="7" borderId="23" xfId="0" applyFont="1" applyFill="1" applyBorder="1" applyAlignment="1" applyProtection="1">
      <alignment horizontal="center" vertical="center"/>
      <protection hidden="1"/>
    </xf>
    <xf numFmtId="0" fontId="28" fillId="7" borderId="80" xfId="0" applyFont="1" applyFill="1" applyBorder="1" applyAlignment="1" applyProtection="1">
      <alignment horizontal="center" vertical="center"/>
      <protection hidden="1"/>
    </xf>
    <xf numFmtId="0" fontId="28" fillId="7" borderId="81" xfId="0" applyFont="1" applyFill="1" applyBorder="1" applyAlignment="1" applyProtection="1">
      <alignment horizontal="center" vertical="center"/>
      <protection hidden="1"/>
    </xf>
    <xf numFmtId="2" fontId="28" fillId="5" borderId="8" xfId="0" applyNumberFormat="1" applyFont="1" applyFill="1" applyBorder="1" applyAlignment="1" applyProtection="1">
      <alignment horizontal="center" vertical="center"/>
      <protection hidden="1"/>
    </xf>
    <xf numFmtId="1" fontId="25" fillId="0" borderId="38" xfId="0" applyNumberFormat="1" applyFont="1" applyBorder="1" applyAlignment="1" applyProtection="1">
      <alignment horizontal="center" vertical="center"/>
      <protection hidden="1"/>
    </xf>
    <xf numFmtId="0" fontId="25" fillId="0" borderId="12" xfId="0" applyFont="1" applyBorder="1" applyAlignment="1" applyProtection="1">
      <alignment horizontal="center" vertical="center"/>
      <protection hidden="1"/>
    </xf>
    <xf numFmtId="0" fontId="28" fillId="7" borderId="36" xfId="0" applyFont="1" applyFill="1" applyBorder="1" applyAlignment="1" applyProtection="1">
      <alignment horizontal="center" vertical="center"/>
      <protection hidden="1"/>
    </xf>
    <xf numFmtId="0" fontId="28" fillId="7" borderId="37" xfId="0" applyFont="1" applyFill="1" applyBorder="1" applyAlignment="1" applyProtection="1">
      <alignment horizontal="center" vertical="center"/>
      <protection hidden="1"/>
    </xf>
    <xf numFmtId="2" fontId="28" fillId="5" borderId="52" xfId="0" applyNumberFormat="1" applyFont="1" applyFill="1" applyBorder="1" applyAlignment="1" applyProtection="1">
      <alignment horizontal="center" vertical="center"/>
      <protection hidden="1"/>
    </xf>
    <xf numFmtId="0" fontId="25" fillId="0" borderId="38" xfId="0" applyFont="1" applyBorder="1" applyAlignment="1" applyProtection="1">
      <alignment horizontal="center" vertical="center"/>
      <protection hidden="1"/>
    </xf>
    <xf numFmtId="0" fontId="28" fillId="7" borderId="89" xfId="0" applyFont="1" applyFill="1" applyBorder="1" applyAlignment="1" applyProtection="1">
      <alignment horizontal="center" vertical="center"/>
      <protection hidden="1"/>
    </xf>
    <xf numFmtId="0" fontId="28" fillId="7" borderId="99" xfId="0" applyFont="1" applyFill="1" applyBorder="1" applyAlignment="1" applyProtection="1">
      <alignment horizontal="center" vertical="center"/>
      <protection hidden="1"/>
    </xf>
    <xf numFmtId="0" fontId="28" fillId="7" borderId="74" xfId="0" applyFont="1" applyFill="1" applyBorder="1" applyAlignment="1" applyProtection="1">
      <alignment horizontal="center" vertical="center"/>
      <protection hidden="1"/>
    </xf>
    <xf numFmtId="0" fontId="28" fillId="7" borderId="107" xfId="0" applyFont="1" applyFill="1" applyBorder="1" applyAlignment="1" applyProtection="1">
      <alignment horizontal="center" vertical="center"/>
      <protection hidden="1"/>
    </xf>
    <xf numFmtId="0" fontId="28" fillId="7" borderId="87" xfId="0" applyFont="1" applyFill="1" applyBorder="1" applyAlignment="1" applyProtection="1">
      <alignment horizontal="center" vertical="center"/>
      <protection hidden="1"/>
    </xf>
    <xf numFmtId="0" fontId="28" fillId="7" borderId="77" xfId="0" applyFont="1" applyFill="1" applyBorder="1" applyAlignment="1" applyProtection="1">
      <alignment horizontal="center" vertical="center"/>
      <protection hidden="1"/>
    </xf>
    <xf numFmtId="0" fontId="28" fillId="7" borderId="98" xfId="0" applyFont="1" applyFill="1" applyBorder="1" applyAlignment="1" applyProtection="1">
      <alignment horizontal="center" vertical="center"/>
      <protection hidden="1"/>
    </xf>
    <xf numFmtId="0" fontId="28" fillId="7" borderId="100" xfId="0" applyFont="1" applyFill="1" applyBorder="1" applyAlignment="1" applyProtection="1">
      <alignment horizontal="center" vertical="center"/>
      <protection hidden="1"/>
    </xf>
    <xf numFmtId="2" fontId="28" fillId="5" borderId="97" xfId="0" applyNumberFormat="1" applyFont="1" applyFill="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0" fontId="25" fillId="0" borderId="102" xfId="0" applyFont="1" applyBorder="1" applyAlignment="1" applyProtection="1">
      <alignment horizontal="center" vertical="center"/>
      <protection hidden="1"/>
    </xf>
    <xf numFmtId="0" fontId="28" fillId="7" borderId="105" xfId="0" applyFont="1" applyFill="1" applyBorder="1" applyAlignment="1" applyProtection="1">
      <alignment horizontal="center" vertical="center"/>
      <protection hidden="1"/>
    </xf>
    <xf numFmtId="0" fontId="28" fillId="7" borderId="106" xfId="0" applyFont="1" applyFill="1" applyBorder="1" applyAlignment="1" applyProtection="1">
      <alignment horizontal="center" vertical="center"/>
      <protection hidden="1"/>
    </xf>
    <xf numFmtId="2" fontId="28" fillId="5" borderId="104" xfId="0" applyNumberFormat="1" applyFont="1" applyFill="1" applyBorder="1" applyAlignment="1" applyProtection="1">
      <alignment horizontal="center" vertical="center"/>
      <protection hidden="1"/>
    </xf>
    <xf numFmtId="1" fontId="25" fillId="0" borderId="108" xfId="0" applyNumberFormat="1" applyFont="1" applyBorder="1" applyAlignment="1" applyProtection="1">
      <alignment horizontal="center" vertical="center"/>
      <protection hidden="1"/>
    </xf>
    <xf numFmtId="0" fontId="25" fillId="0" borderId="109" xfId="0" applyFont="1" applyBorder="1" applyAlignment="1" applyProtection="1">
      <alignment horizontal="center" vertical="center"/>
      <protection hidden="1"/>
    </xf>
    <xf numFmtId="0" fontId="2" fillId="19" borderId="110" xfId="0"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32"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0" fontId="25" fillId="19" borderId="95" xfId="0" applyFont="1" applyFill="1" applyBorder="1" applyAlignment="1" applyProtection="1">
      <alignment horizontal="center" vertical="center"/>
      <protection hidden="1"/>
    </xf>
    <xf numFmtId="0" fontId="2" fillId="19" borderId="111"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34" xfId="0" applyFont="1" applyFill="1" applyBorder="1" applyAlignment="1" applyProtection="1">
      <alignment horizontal="center" vertical="center"/>
      <protection hidden="1"/>
    </xf>
    <xf numFmtId="1" fontId="25" fillId="19" borderId="117" xfId="0" applyNumberFormat="1" applyFont="1" applyFill="1" applyBorder="1" applyAlignment="1" applyProtection="1">
      <alignment horizontal="center" vertical="center"/>
      <protection hidden="1"/>
    </xf>
    <xf numFmtId="0" fontId="25" fillId="19" borderId="88" xfId="0"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0" fontId="2" fillId="19" borderId="112" xfId="0" applyFont="1" applyFill="1" applyBorder="1" applyAlignment="1" applyProtection="1">
      <alignment horizontal="center" vertical="center"/>
      <protection hidden="1"/>
    </xf>
    <xf numFmtId="0" fontId="2" fillId="19" borderId="92" xfId="0" applyFont="1" applyFill="1" applyBorder="1" applyAlignment="1" applyProtection="1">
      <alignment horizontal="center" vertical="center"/>
      <protection hidden="1"/>
    </xf>
    <xf numFmtId="0" fontId="2" fillId="19" borderId="135" xfId="0" applyFont="1" applyFill="1" applyBorder="1" applyAlignment="1" applyProtection="1">
      <alignment horizontal="center" vertical="center"/>
      <protection hidden="1"/>
    </xf>
    <xf numFmtId="1" fontId="25" fillId="19" borderId="92" xfId="0" applyNumberFormat="1" applyFont="1" applyFill="1" applyBorder="1" applyAlignment="1" applyProtection="1">
      <alignment horizontal="center" vertical="center"/>
      <protection hidden="1"/>
    </xf>
    <xf numFmtId="0" fontId="25" fillId="19" borderId="115" xfId="0" applyFont="1" applyFill="1" applyBorder="1" applyAlignment="1" applyProtection="1">
      <alignment horizontal="center" vertical="center"/>
      <protection hidden="1"/>
    </xf>
    <xf numFmtId="0" fontId="25" fillId="19" borderId="118" xfId="0" applyFont="1" applyFill="1" applyBorder="1" applyAlignment="1" applyProtection="1">
      <alignment horizontal="center" vertical="center"/>
      <protection hidden="1"/>
    </xf>
    <xf numFmtId="0" fontId="2" fillId="19" borderId="133" xfId="0" applyFont="1" applyFill="1" applyBorder="1" applyAlignment="1" applyProtection="1">
      <alignment horizontal="center" vertical="center"/>
      <protection hidden="1"/>
    </xf>
    <xf numFmtId="0" fontId="2" fillId="19" borderId="50" xfId="0" applyFont="1" applyFill="1" applyBorder="1" applyAlignment="1" applyProtection="1">
      <alignment horizontal="center" vertical="center"/>
      <protection hidden="1"/>
    </xf>
    <xf numFmtId="0" fontId="25" fillId="19" borderId="93" xfId="0" applyFont="1" applyFill="1" applyBorder="1" applyAlignment="1" applyProtection="1">
      <alignment horizontal="center" vertical="center"/>
      <protection hidden="1"/>
    </xf>
    <xf numFmtId="0" fontId="24" fillId="0" borderId="20"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0" fontId="3" fillId="0" borderId="0" xfId="0" applyFont="1" applyBorder="1" applyProtection="1">
      <protection locked="0"/>
    </xf>
    <xf numFmtId="0" fontId="0" fillId="0" borderId="0" xfId="0" applyBorder="1" applyProtection="1">
      <protection locked="0"/>
    </xf>
    <xf numFmtId="0" fontId="3" fillId="0" borderId="0" xfId="0" applyFont="1" applyBorder="1" applyAlignment="1" applyProtection="1">
      <alignment horizontal="center" vertical="center"/>
      <protection locked="0"/>
    </xf>
    <xf numFmtId="0" fontId="2" fillId="0" borderId="0" xfId="0" applyFont="1" applyBorder="1" applyProtection="1">
      <protection locked="0"/>
    </xf>
    <xf numFmtId="0" fontId="4" fillId="0" borderId="0" xfId="0" applyFont="1" applyBorder="1" applyAlignment="1" applyProtection="1">
      <alignment horizontal="right"/>
      <protection locked="0"/>
    </xf>
    <xf numFmtId="0" fontId="7" fillId="0" borderId="0" xfId="0" applyFont="1" applyBorder="1" applyAlignment="1" applyProtection="1">
      <alignment vertical="center"/>
      <protection locked="0"/>
    </xf>
    <xf numFmtId="0" fontId="29" fillId="0" borderId="7"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2" fillId="0" borderId="0" xfId="0" applyFont="1" applyBorder="1" applyAlignment="1" applyProtection="1">
      <alignment vertical="center"/>
      <protection locked="0"/>
    </xf>
    <xf numFmtId="0" fontId="24" fillId="6" borderId="14" xfId="0" applyFont="1" applyFill="1" applyBorder="1" applyAlignment="1" applyProtection="1">
      <alignment horizontal="center" vertical="center"/>
      <protection locked="0"/>
    </xf>
    <xf numFmtId="0" fontId="24" fillId="6" borderId="16" xfId="0" applyFont="1" applyFill="1" applyBorder="1" applyAlignment="1" applyProtection="1">
      <alignment horizontal="center" vertical="center"/>
      <protection locked="0"/>
    </xf>
    <xf numFmtId="0" fontId="24" fillId="6" borderId="35" xfId="0" applyFont="1" applyFill="1" applyBorder="1" applyAlignment="1" applyProtection="1">
      <alignment horizontal="center" vertical="center"/>
      <protection locked="0"/>
    </xf>
    <xf numFmtId="0" fontId="24" fillId="7" borderId="18" xfId="0" applyFont="1" applyFill="1" applyBorder="1" applyAlignment="1" applyProtection="1">
      <alignment horizontal="center" vertical="center"/>
      <protection locked="0"/>
    </xf>
    <xf numFmtId="0" fontId="24" fillId="7" borderId="14" xfId="0" applyFont="1" applyFill="1" applyBorder="1" applyAlignment="1" applyProtection="1">
      <alignment horizontal="center" vertical="center"/>
      <protection locked="0"/>
    </xf>
    <xf numFmtId="0" fontId="24" fillId="7" borderId="16" xfId="0" applyFont="1" applyFill="1" applyBorder="1" applyAlignment="1" applyProtection="1">
      <alignment horizontal="center" vertical="center"/>
      <protection locked="0"/>
    </xf>
    <xf numFmtId="0" fontId="24" fillId="7" borderId="19" xfId="0" applyFont="1" applyFill="1" applyBorder="1" applyAlignment="1" applyProtection="1">
      <alignment horizontal="center" vertical="center"/>
      <protection locked="0"/>
    </xf>
    <xf numFmtId="1" fontId="24" fillId="7" borderId="30" xfId="0" applyNumberFormat="1" applyFont="1" applyFill="1" applyBorder="1" applyAlignment="1" applyProtection="1">
      <alignment horizontal="center" vertical="center"/>
      <protection locked="0"/>
    </xf>
    <xf numFmtId="9" fontId="24" fillId="7" borderId="30" xfId="0" applyNumberFormat="1" applyFont="1" applyFill="1" applyBorder="1" applyAlignment="1" applyProtection="1">
      <alignment horizontal="center" vertical="center"/>
      <protection locked="0"/>
    </xf>
    <xf numFmtId="1" fontId="24" fillId="7" borderId="26" xfId="0" applyNumberFormat="1" applyFont="1" applyFill="1" applyBorder="1" applyAlignment="1" applyProtection="1">
      <alignment horizontal="center" vertical="center"/>
      <protection locked="0"/>
    </xf>
    <xf numFmtId="9" fontId="24" fillId="7" borderId="26" xfId="0" applyNumberFormat="1" applyFont="1" applyFill="1" applyBorder="1" applyAlignment="1" applyProtection="1">
      <alignment horizontal="center" vertical="center"/>
      <protection locked="0"/>
    </xf>
    <xf numFmtId="0" fontId="24" fillId="7" borderId="20" xfId="0" applyFont="1" applyFill="1" applyBorder="1" applyAlignment="1" applyProtection="1">
      <alignment horizontal="center" vertical="center"/>
      <protection locked="0"/>
    </xf>
    <xf numFmtId="0" fontId="24" fillId="7" borderId="22" xfId="0" applyFont="1" applyFill="1" applyBorder="1" applyAlignment="1" applyProtection="1">
      <alignment horizontal="center" vertical="center"/>
      <protection locked="0"/>
    </xf>
    <xf numFmtId="0" fontId="24" fillId="7" borderId="29" xfId="0" applyFont="1" applyFill="1" applyBorder="1" applyAlignment="1" applyProtection="1">
      <alignment horizontal="center" vertical="center"/>
      <protection locked="0"/>
    </xf>
    <xf numFmtId="0" fontId="10" fillId="10" borderId="34" xfId="0" applyFont="1" applyFill="1" applyBorder="1" applyAlignment="1" applyProtection="1">
      <alignment horizontal="center"/>
      <protection locked="0"/>
    </xf>
    <xf numFmtId="0" fontId="27" fillId="0" borderId="121" xfId="0" applyFont="1" applyBorder="1" applyAlignment="1" applyProtection="1">
      <alignment horizontal="center" vertical="center"/>
      <protection locked="0"/>
    </xf>
    <xf numFmtId="0" fontId="27" fillId="0" borderId="122" xfId="0" applyFont="1" applyBorder="1" applyAlignment="1" applyProtection="1">
      <alignment horizontal="center" vertical="center"/>
      <protection locked="0"/>
    </xf>
    <xf numFmtId="0" fontId="27" fillId="0" borderId="123" xfId="0" applyFont="1" applyBorder="1" applyAlignment="1" applyProtection="1">
      <alignment horizontal="center" vertical="center"/>
      <protection locked="0"/>
    </xf>
    <xf numFmtId="0" fontId="10" fillId="10" borderId="36" xfId="0" applyFont="1" applyFill="1" applyBorder="1" applyAlignment="1" applyProtection="1">
      <alignment horizontal="center"/>
      <protection locked="0"/>
    </xf>
    <xf numFmtId="0" fontId="27" fillId="0" borderId="124" xfId="0" applyFont="1" applyBorder="1" applyAlignment="1" applyProtection="1">
      <alignment horizontal="center" vertical="center"/>
      <protection locked="0"/>
    </xf>
    <xf numFmtId="0" fontId="27" fillId="0" borderId="120" xfId="0" applyFont="1" applyBorder="1" applyAlignment="1" applyProtection="1">
      <alignment horizontal="center" vertical="center"/>
      <protection locked="0"/>
    </xf>
    <xf numFmtId="0" fontId="27" fillId="0" borderId="125" xfId="0" applyFont="1" applyBorder="1" applyAlignment="1" applyProtection="1">
      <alignment horizontal="center" vertical="center"/>
      <protection locked="0"/>
    </xf>
    <xf numFmtId="0" fontId="10" fillId="10" borderId="39" xfId="0" applyFont="1" applyFill="1" applyBorder="1" applyAlignment="1" applyProtection="1">
      <alignment horizontal="center"/>
      <protection locked="0"/>
    </xf>
    <xf numFmtId="0" fontId="27" fillId="0" borderId="126" xfId="0" applyFont="1" applyBorder="1" applyAlignment="1" applyProtection="1">
      <alignment horizontal="center" vertical="center"/>
      <protection locked="0"/>
    </xf>
    <xf numFmtId="0" fontId="27" fillId="0" borderId="127" xfId="0" applyFont="1" applyBorder="1" applyAlignment="1" applyProtection="1">
      <alignment horizontal="center" vertical="center"/>
      <protection locked="0"/>
    </xf>
    <xf numFmtId="0" fontId="27" fillId="0" borderId="128" xfId="0" applyFont="1" applyBorder="1" applyAlignment="1" applyProtection="1">
      <alignment horizontal="center" vertical="center"/>
      <protection locked="0"/>
    </xf>
    <xf numFmtId="0" fontId="10" fillId="12" borderId="73" xfId="0" applyFont="1" applyFill="1" applyBorder="1" applyAlignment="1" applyProtection="1">
      <alignment horizontal="center"/>
      <protection locked="0"/>
    </xf>
    <xf numFmtId="0" fontId="10" fillId="12" borderId="75" xfId="0" applyFont="1" applyFill="1" applyBorder="1" applyAlignment="1" applyProtection="1">
      <alignment horizontal="center"/>
      <protection locked="0"/>
    </xf>
    <xf numFmtId="0" fontId="10" fillId="12" borderId="103"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4" fillId="0" borderId="0" xfId="0" applyFont="1" applyBorder="1" applyAlignment="1" applyProtection="1">
      <alignment horizontal="right" vertical="center"/>
      <protection locked="0"/>
    </xf>
    <xf numFmtId="0" fontId="29" fillId="0" borderId="33" xfId="0" applyFont="1" applyProtection="1">
      <protection locked="0"/>
    </xf>
    <xf numFmtId="0" fontId="1" fillId="0" borderId="33" xfId="0" applyFont="1" applyProtection="1">
      <protection locked="0"/>
    </xf>
    <xf numFmtId="0" fontId="4" fillId="0" borderId="33" xfId="0" applyFont="1" applyAlignment="1" applyProtection="1">
      <alignment horizontal="center"/>
      <protection locked="0"/>
    </xf>
    <xf numFmtId="0" fontId="10" fillId="0" borderId="17" xfId="0" applyFont="1" applyBorder="1" applyAlignment="1" applyProtection="1">
      <alignment horizontal="right" vertical="center"/>
      <protection locked="0"/>
    </xf>
    <xf numFmtId="0" fontId="10" fillId="0" borderId="10" xfId="0" applyFont="1" applyBorder="1" applyAlignment="1" applyProtection="1">
      <alignment horizontal="right" vertical="center"/>
      <protection locked="0"/>
    </xf>
    <xf numFmtId="0" fontId="0" fillId="0" borderId="33" xfId="0" applyProtection="1">
      <protection locked="0"/>
    </xf>
    <xf numFmtId="0" fontId="10" fillId="0" borderId="85" xfId="0" applyFont="1" applyBorder="1" applyAlignment="1" applyProtection="1">
      <alignment horizontal="center" vertical="center"/>
      <protection locked="0"/>
    </xf>
    <xf numFmtId="0" fontId="10" fillId="10" borderId="14" xfId="0" applyFont="1" applyFill="1" applyBorder="1" applyAlignment="1" applyProtection="1">
      <alignment horizontal="center"/>
      <protection locked="0"/>
    </xf>
    <xf numFmtId="0" fontId="25" fillId="0" borderId="96" xfId="0" applyFont="1" applyBorder="1" applyAlignment="1" applyProtection="1">
      <alignment horizontal="center" vertical="center"/>
      <protection locked="0"/>
    </xf>
    <xf numFmtId="0" fontId="31" fillId="0" borderId="33" xfId="0" applyFont="1" applyAlignment="1" applyProtection="1">
      <alignment horizontal="center" vertical="center"/>
      <protection locked="0"/>
    </xf>
    <xf numFmtId="0" fontId="31" fillId="0" borderId="33" xfId="0" applyFont="1" applyAlignment="1" applyProtection="1">
      <alignment horizontal="center"/>
      <protection locked="0"/>
    </xf>
    <xf numFmtId="0" fontId="25" fillId="0" borderId="91" xfId="0" applyFont="1" applyBorder="1" applyAlignment="1" applyProtection="1">
      <alignment horizontal="center" vertical="center"/>
      <protection locked="0"/>
    </xf>
    <xf numFmtId="0" fontId="31" fillId="0" borderId="33" xfId="0" applyFont="1" applyProtection="1">
      <protection locked="0"/>
    </xf>
    <xf numFmtId="0" fontId="25" fillId="0" borderId="116" xfId="0" applyFont="1" applyBorder="1" applyAlignment="1" applyProtection="1">
      <alignment horizontal="center" vertical="center"/>
      <protection locked="0"/>
    </xf>
    <xf numFmtId="0" fontId="10" fillId="12" borderId="34" xfId="0" applyFont="1" applyFill="1" applyBorder="1" applyAlignment="1" applyProtection="1">
      <alignment horizontal="center"/>
      <protection locked="0"/>
    </xf>
    <xf numFmtId="0" fontId="25" fillId="0" borderId="119" xfId="0" applyFont="1" applyBorder="1" applyAlignment="1" applyProtection="1">
      <alignment horizontal="center" vertical="center"/>
      <protection locked="0"/>
    </xf>
    <xf numFmtId="0" fontId="10" fillId="12" borderId="36"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0" xfId="0" applyFont="1" applyFill="1" applyBorder="1" applyAlignment="1" applyProtection="1">
      <alignment horizontal="center"/>
      <protection locked="0"/>
    </xf>
    <xf numFmtId="0" fontId="25" fillId="0" borderId="94" xfId="0" applyFont="1" applyBorder="1" applyAlignment="1" applyProtection="1">
      <alignment horizontal="center" vertical="center"/>
      <protection locked="0"/>
    </xf>
    <xf numFmtId="0" fontId="7" fillId="0" borderId="0" xfId="0" applyFont="1" applyBorder="1" applyAlignment="1" applyProtection="1">
      <alignment horizontal="center"/>
      <protection locked="0"/>
    </xf>
    <xf numFmtId="0" fontId="32" fillId="2" borderId="33" xfId="0" applyFont="1" applyFill="1" applyAlignment="1">
      <alignment horizontal="center" vertical="center"/>
    </xf>
    <xf numFmtId="0" fontId="0" fillId="0" borderId="0" xfId="0" applyBorder="1"/>
    <xf numFmtId="0" fontId="8" fillId="21" borderId="5" xfId="0" applyFont="1" applyFill="1" applyBorder="1" applyAlignment="1">
      <alignment horizontal="left"/>
    </xf>
    <xf numFmtId="0" fontId="0" fillId="0" borderId="5" xfId="0" applyBorder="1"/>
    <xf numFmtId="0" fontId="5" fillId="3" borderId="6" xfId="0" applyFont="1" applyFill="1" applyBorder="1" applyAlignment="1">
      <alignment horizontal="center"/>
    </xf>
    <xf numFmtId="0" fontId="8" fillId="5" borderId="5" xfId="0" applyFont="1" applyFill="1" applyBorder="1" applyAlignment="1">
      <alignment horizontal="left"/>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1" xfId="0" applyBorder="1"/>
    <xf numFmtId="0" fontId="0" fillId="0" borderId="8" xfId="0" applyBorder="1"/>
    <xf numFmtId="0" fontId="33" fillId="22" borderId="136" xfId="0" applyFont="1" applyFill="1" applyBorder="1" applyAlignment="1">
      <alignment horizontal="center" vertical="center"/>
    </xf>
    <xf numFmtId="0" fontId="33" fillId="22" borderId="137" xfId="0" applyFont="1" applyFill="1" applyBorder="1" applyAlignment="1">
      <alignment horizontal="center" vertical="center"/>
    </xf>
    <xf numFmtId="0" fontId="33" fillId="22" borderId="138" xfId="0" applyFont="1" applyFill="1" applyBorder="1" applyAlignment="1">
      <alignment horizontal="center" vertical="center"/>
    </xf>
    <xf numFmtId="0" fontId="33" fillId="22" borderId="139" xfId="0" applyFont="1" applyFill="1" applyBorder="1" applyAlignment="1">
      <alignment horizontal="center" vertical="center"/>
    </xf>
    <xf numFmtId="0" fontId="33" fillId="22" borderId="33" xfId="0" applyFont="1" applyFill="1" applyBorder="1" applyAlignment="1">
      <alignment horizontal="center" vertical="center"/>
    </xf>
    <xf numFmtId="0" fontId="33" fillId="22" borderId="140" xfId="0" applyFont="1" applyFill="1" applyBorder="1" applyAlignment="1">
      <alignment horizontal="center" vertical="center"/>
    </xf>
    <xf numFmtId="0" fontId="33" fillId="22" borderId="48" xfId="0" applyFont="1" applyFill="1" applyBorder="1" applyAlignment="1">
      <alignment horizontal="center" vertical="center"/>
    </xf>
    <xf numFmtId="0" fontId="33" fillId="22" borderId="50" xfId="0" applyFont="1" applyFill="1" applyBorder="1" applyAlignment="1">
      <alignment horizontal="center" vertical="center"/>
    </xf>
    <xf numFmtId="0" fontId="33" fillId="22" borderId="51" xfId="0" applyFont="1" applyFill="1" applyBorder="1" applyAlignment="1">
      <alignment horizontal="center" vertical="center"/>
    </xf>
    <xf numFmtId="0" fontId="12" fillId="8" borderId="33" xfId="0" applyFont="1" applyFill="1" applyAlignment="1">
      <alignment horizontal="left" vertical="center" wrapText="1"/>
    </xf>
    <xf numFmtId="0" fontId="26" fillId="0" borderId="33" xfId="0" applyFont="1" applyAlignment="1" applyProtection="1">
      <alignment horizontal="center"/>
      <protection locked="0"/>
    </xf>
    <xf numFmtId="0" fontId="0" fillId="0" borderId="0" xfId="0" applyBorder="1" applyProtection="1">
      <protection locked="0"/>
    </xf>
    <xf numFmtId="0" fontId="29" fillId="19" borderId="17" xfId="0" applyFont="1" applyFill="1" applyBorder="1" applyAlignment="1" applyProtection="1">
      <alignment horizontal="center"/>
      <protection hidden="1"/>
    </xf>
    <xf numFmtId="0" fontId="0" fillId="0" borderId="7" xfId="0" applyBorder="1" applyProtection="1">
      <protection hidden="1"/>
    </xf>
    <xf numFmtId="0" fontId="0" fillId="0" borderId="4" xfId="0" applyBorder="1" applyProtection="1">
      <protection hidden="1"/>
    </xf>
    <xf numFmtId="0" fontId="10" fillId="19" borderId="17" xfId="0" applyFont="1" applyFill="1" applyBorder="1" applyAlignment="1" applyProtection="1">
      <alignment horizontal="center" vertical="center"/>
      <protection locked="0"/>
    </xf>
    <xf numFmtId="0" fontId="0" fillId="0" borderId="1" xfId="0" applyBorder="1" applyProtection="1">
      <protection locked="0"/>
    </xf>
    <xf numFmtId="0" fontId="0" fillId="0" borderId="2" xfId="0" applyBorder="1" applyProtection="1">
      <protection locked="0"/>
    </xf>
    <xf numFmtId="0" fontId="0" fillId="0" borderId="11" xfId="0" applyBorder="1" applyProtection="1">
      <protection locked="0"/>
    </xf>
    <xf numFmtId="0" fontId="0" fillId="0" borderId="13" xfId="0" applyBorder="1" applyProtection="1">
      <protection locked="0"/>
    </xf>
    <xf numFmtId="0" fontId="0" fillId="0" borderId="15" xfId="0" applyBorder="1" applyProtection="1">
      <protection locked="0"/>
    </xf>
    <xf numFmtId="0" fontId="10" fillId="19" borderId="17"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30" xfId="0" applyBorder="1" applyProtection="1">
      <protection locked="0"/>
    </xf>
    <xf numFmtId="0" fontId="22" fillId="16" borderId="85" xfId="0" applyFont="1" applyFill="1" applyBorder="1" applyAlignment="1" applyProtection="1">
      <alignment horizontal="center"/>
      <protection locked="0"/>
    </xf>
    <xf numFmtId="0" fontId="0" fillId="0" borderId="54" xfId="0" applyBorder="1" applyProtection="1">
      <protection locked="0"/>
    </xf>
    <xf numFmtId="0" fontId="0" fillId="0" borderId="55" xfId="0" applyBorder="1" applyProtection="1">
      <protection locked="0"/>
    </xf>
    <xf numFmtId="0" fontId="9" fillId="19" borderId="12" xfId="0" applyFont="1" applyFill="1" applyBorder="1" applyAlignment="1" applyProtection="1">
      <alignment horizontal="center" vertical="center"/>
      <protection locked="0"/>
    </xf>
    <xf numFmtId="0" fontId="0" fillId="0" borderId="8" xfId="0" applyBorder="1" applyProtection="1">
      <protection locked="0"/>
    </xf>
    <xf numFmtId="0" fontId="0" fillId="0" borderId="21" xfId="0" applyBorder="1" applyProtection="1">
      <protection locked="0"/>
    </xf>
    <xf numFmtId="0" fontId="10" fillId="0" borderId="30" xfId="0" applyFont="1" applyBorder="1" applyAlignment="1" applyProtection="1">
      <alignment vertical="center"/>
      <protection locked="0"/>
    </xf>
    <xf numFmtId="0" fontId="8" fillId="20" borderId="30" xfId="0" applyFont="1" applyFill="1" applyBorder="1" applyAlignment="1" applyProtection="1">
      <alignment horizontal="center" vertical="center"/>
      <protection hidden="1"/>
    </xf>
    <xf numFmtId="0" fontId="0" fillId="0" borderId="13" xfId="0" applyBorder="1" applyProtection="1">
      <protection hidden="1"/>
    </xf>
    <xf numFmtId="0" fontId="0" fillId="0" borderId="15" xfId="0" applyBorder="1" applyProtection="1">
      <protection hidden="1"/>
    </xf>
    <xf numFmtId="0" fontId="10" fillId="19" borderId="30" xfId="0" applyFont="1" applyFill="1" applyBorder="1" applyAlignment="1" applyProtection="1">
      <alignment horizontal="center" vertical="center"/>
      <protection locked="0"/>
    </xf>
    <xf numFmtId="0" fontId="0" fillId="0" borderId="0" xfId="0" applyBorder="1" applyProtection="1">
      <protection hidden="1"/>
    </xf>
    <xf numFmtId="0" fontId="0" fillId="0" borderId="8" xfId="0" applyBorder="1" applyProtection="1">
      <protection hidden="1"/>
    </xf>
    <xf numFmtId="0" fontId="0" fillId="0" borderId="11" xfId="0" applyBorder="1" applyProtection="1">
      <protection hidden="1"/>
    </xf>
    <xf numFmtId="0" fontId="10" fillId="19" borderId="11" xfId="0" applyFont="1" applyFill="1" applyBorder="1" applyAlignment="1" applyProtection="1">
      <alignment horizontal="center" vertical="center"/>
      <protection locked="0"/>
    </xf>
    <xf numFmtId="0" fontId="10" fillId="0" borderId="17" xfId="0" applyFont="1" applyBorder="1" applyAlignment="1" applyProtection="1">
      <alignment vertical="center"/>
      <protection locked="0"/>
    </xf>
    <xf numFmtId="0" fontId="0" fillId="0" borderId="7" xfId="0" applyBorder="1" applyProtection="1">
      <protection locked="0"/>
    </xf>
    <xf numFmtId="0" fontId="0" fillId="0" borderId="4" xfId="0" applyBorder="1" applyProtection="1">
      <protection locked="0"/>
    </xf>
    <xf numFmtId="0" fontId="8" fillId="20" borderId="17" xfId="0" applyFont="1" applyFill="1" applyBorder="1" applyAlignment="1" applyProtection="1">
      <alignment horizontal="center" vertical="center"/>
      <protection hidden="1"/>
    </xf>
    <xf numFmtId="0" fontId="8" fillId="19" borderId="32" xfId="0" applyFont="1" applyFill="1" applyBorder="1" applyProtection="1">
      <protection hidden="1"/>
    </xf>
    <xf numFmtId="0" fontId="0" fillId="0" borderId="32" xfId="0" applyBorder="1" applyProtection="1">
      <protection hidden="1"/>
    </xf>
    <xf numFmtId="0" fontId="8" fillId="19" borderId="32" xfId="0" applyFont="1" applyFill="1" applyBorder="1" applyAlignment="1" applyProtection="1">
      <alignment horizontal="left" vertical="center"/>
      <protection hidden="1"/>
    </xf>
    <xf numFmtId="0" fontId="11" fillId="19" borderId="17" xfId="0" applyFont="1" applyFill="1" applyBorder="1" applyAlignment="1" applyProtection="1">
      <alignment horizontal="right"/>
      <protection locked="0"/>
    </xf>
    <xf numFmtId="0" fontId="5" fillId="17" borderId="17" xfId="0" applyFont="1" applyFill="1" applyBorder="1" applyProtection="1">
      <protection locked="0"/>
    </xf>
    <xf numFmtId="0" fontId="5" fillId="9" borderId="17" xfId="0" applyFont="1" applyFill="1" applyBorder="1" applyProtection="1">
      <protection locked="0"/>
    </xf>
    <xf numFmtId="0" fontId="8" fillId="19" borderId="86" xfId="0" applyFont="1" applyFill="1" applyBorder="1" applyAlignment="1" applyProtection="1">
      <alignment horizontal="left"/>
      <protection hidden="1"/>
    </xf>
    <xf numFmtId="0" fontId="0" fillId="0" borderId="86" xfId="0" applyBorder="1" applyProtection="1">
      <protection hidden="1"/>
    </xf>
    <xf numFmtId="0" fontId="8" fillId="19" borderId="27" xfId="0" applyFont="1" applyFill="1" applyBorder="1" applyAlignment="1" applyProtection="1">
      <alignment horizontal="left"/>
      <protection hidden="1"/>
    </xf>
    <xf numFmtId="0" fontId="0" fillId="0" borderId="28" xfId="0" applyBorder="1" applyProtection="1">
      <protection hidden="1"/>
    </xf>
    <xf numFmtId="0" fontId="5" fillId="9" borderId="10" xfId="0" applyFont="1" applyFill="1" applyBorder="1" applyProtection="1">
      <protection locked="0"/>
    </xf>
    <xf numFmtId="0" fontId="8" fillId="19" borderId="77" xfId="0" applyFont="1" applyFill="1" applyBorder="1" applyAlignment="1" applyProtection="1">
      <alignment horizontal="left"/>
      <protection hidden="1"/>
    </xf>
    <xf numFmtId="0" fontId="0" fillId="0" borderId="129" xfId="0" applyBorder="1" applyProtection="1">
      <protection hidden="1"/>
    </xf>
    <xf numFmtId="0" fontId="2" fillId="0" borderId="33" xfId="0" applyFont="1" applyProtection="1">
      <protection locked="0"/>
    </xf>
    <xf numFmtId="0" fontId="10" fillId="0" borderId="4" xfId="0" applyFont="1" applyBorder="1" applyAlignment="1" applyProtection="1">
      <alignment horizontal="center" vertical="center"/>
      <protection locked="0"/>
    </xf>
    <xf numFmtId="0" fontId="8" fillId="19" borderId="32" xfId="0" applyFont="1" applyFill="1" applyBorder="1" applyAlignment="1" applyProtection="1">
      <alignment vertical="center"/>
      <protection hidden="1"/>
    </xf>
    <xf numFmtId="0" fontId="23" fillId="18" borderId="13" xfId="0" applyFont="1" applyFill="1" applyBorder="1" applyAlignment="1" applyProtection="1">
      <alignment horizontal="center"/>
      <protection locked="0"/>
    </xf>
    <xf numFmtId="0" fontId="8" fillId="19" borderId="17" xfId="0" applyFont="1" applyFill="1" applyBorder="1" applyAlignment="1" applyProtection="1">
      <alignment horizontal="center" vertical="center"/>
      <protection hidden="1"/>
    </xf>
    <xf numFmtId="0" fontId="5" fillId="11" borderId="17" xfId="0" applyFont="1" applyFill="1" applyBorder="1" applyProtection="1">
      <protection locked="0"/>
    </xf>
    <xf numFmtId="0" fontId="10" fillId="0" borderId="17" xfId="0" applyFont="1" applyBorder="1" applyAlignment="1" applyProtection="1">
      <alignment horizontal="center" vertical="center"/>
      <protection locked="0"/>
    </xf>
    <xf numFmtId="0" fontId="8" fillId="19" borderId="33" xfId="0" applyFont="1" applyFill="1" applyAlignment="1" applyProtection="1">
      <alignment vertical="center"/>
      <protection hidden="1"/>
    </xf>
    <xf numFmtId="0" fontId="10" fillId="0" borderId="3" xfId="0" applyFont="1" applyBorder="1" applyAlignment="1" applyProtection="1">
      <alignment horizontal="center" vertical="center"/>
      <protection locked="0"/>
    </xf>
    <xf numFmtId="0" fontId="31" fillId="0" borderId="33" xfId="0" applyFont="1" applyAlignment="1" applyProtection="1">
      <alignment horizontal="center"/>
      <protection locked="0"/>
    </xf>
    <xf numFmtId="0" fontId="30" fillId="0" borderId="33" xfId="0" applyFont="1" applyAlignment="1" applyProtection="1">
      <alignment horizontal="center"/>
      <protection locked="0"/>
    </xf>
    <xf numFmtId="0" fontId="8" fillId="19" borderId="4" xfId="0" applyFont="1" applyFill="1" applyBorder="1" applyAlignment="1" applyProtection="1">
      <alignment horizontal="center" vertical="center"/>
      <protection hidden="1"/>
    </xf>
    <xf numFmtId="0" fontId="8" fillId="19" borderId="24" xfId="0" applyFont="1" applyFill="1" applyBorder="1" applyAlignment="1" applyProtection="1">
      <alignment vertical="center"/>
      <protection hidden="1"/>
    </xf>
    <xf numFmtId="0" fontId="0" fillId="0" borderId="53" xfId="0" applyBorder="1" applyProtection="1">
      <protection hidden="1"/>
    </xf>
    <xf numFmtId="0" fontId="5" fillId="11" borderId="85" xfId="0" applyFont="1" applyFill="1" applyBorder="1" applyProtection="1">
      <protection locked="0"/>
    </xf>
    <xf numFmtId="0" fontId="0" fillId="0" borderId="33" xfId="0" applyBorder="1" applyProtection="1">
      <protection locked="0"/>
    </xf>
    <xf numFmtId="0" fontId="10" fillId="0" borderId="85" xfId="0" applyFont="1" applyBorder="1" applyAlignment="1" applyProtection="1">
      <alignment horizontal="center" vertical="center"/>
      <protection locked="0"/>
    </xf>
    <xf numFmtId="0" fontId="17" fillId="0" borderId="131" xfId="0" applyFont="1" applyBorder="1" applyAlignment="1">
      <alignment horizontal="center" vertical="center" wrapText="1"/>
    </xf>
    <xf numFmtId="0" fontId="0" fillId="0" borderId="42" xfId="0" applyBorder="1"/>
    <xf numFmtId="0" fontId="0" fillId="0" borderId="46" xfId="0" applyBorder="1"/>
    <xf numFmtId="0" fontId="17" fillId="0" borderId="130" xfId="0" applyFont="1" applyBorder="1" applyAlignment="1">
      <alignment horizontal="center" vertical="center" wrapText="1"/>
    </xf>
    <xf numFmtId="0" fontId="0" fillId="0" borderId="43" xfId="0" applyBorder="1"/>
    <xf numFmtId="0" fontId="18" fillId="13" borderId="33" xfId="0" applyFont="1" applyFill="1" applyAlignment="1">
      <alignment horizontal="center"/>
    </xf>
    <xf numFmtId="0" fontId="17" fillId="0" borderId="43"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152400</xdr:colOff>
      <xdr:row>0</xdr:row>
      <xdr:rowOff>0</xdr:rowOff>
    </xdr:from>
    <xdr:ext cx="1000125" cy="962025"/>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E30ABAC-D7D2-44C5-9D57-E493832C2E83}"/>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794C4F8F-B7A5-400F-9694-002DC0A6635F}"/>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6EB91A9-C4AA-45D8-B77C-451522E94AEC}"/>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1F21D5E1-15DE-4A2A-9A9D-522A32D1B61C}"/>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2" name="/xl/media/image9.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9</xdr:col>
      <xdr:colOff>1135381</xdr:colOff>
      <xdr:row>0</xdr:row>
      <xdr:rowOff>0</xdr:rowOff>
    </xdr:from>
    <xdr:ext cx="1318260" cy="666217"/>
    <xdr:pic>
      <xdr:nvPicPr>
        <xdr:cNvPr id="3" name="/xl/media/image10.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64"/>
  <sheetViews>
    <sheetView showGridLines="0" tabSelected="1" workbookViewId="0">
      <selection activeCell="E24" sqref="E24:F24"/>
    </sheetView>
  </sheetViews>
  <sheetFormatPr defaultColWidth="12.6640625" defaultRowHeight="13.2" x14ac:dyDescent="0.25"/>
  <cols>
    <col min="1" max="2" width="3.88671875" style="68" customWidth="1"/>
    <col min="3" max="3" width="19.6640625" style="68" customWidth="1"/>
    <col min="4" max="4" width="2.109375" style="68" customWidth="1"/>
    <col min="5" max="5" width="18.88671875" style="68" customWidth="1"/>
    <col min="6" max="6" width="30.33203125" style="68" customWidth="1"/>
    <col min="7" max="10" width="3.88671875" style="68" customWidth="1"/>
    <col min="11" max="11" width="37.6640625" style="68" customWidth="1"/>
    <col min="12" max="13" width="3.88671875" style="68" customWidth="1"/>
    <col min="14" max="14" width="37.6640625" style="68" customWidth="1"/>
    <col min="15" max="16" width="3.88671875" style="68" customWidth="1"/>
  </cols>
  <sheetData>
    <row r="1" spans="1:17" s="68" customFormat="1" ht="13.2" customHeight="1" x14ac:dyDescent="0.25">
      <c r="A1" s="189" t="s">
        <v>0</v>
      </c>
      <c r="B1" s="190"/>
      <c r="C1" s="190"/>
      <c r="D1" s="190"/>
      <c r="E1" s="190"/>
      <c r="F1" s="190"/>
      <c r="G1" s="190"/>
      <c r="H1" s="190"/>
      <c r="I1" s="190"/>
      <c r="J1" s="190"/>
      <c r="K1" s="190"/>
      <c r="L1" s="190"/>
      <c r="M1" s="190"/>
      <c r="N1" s="190"/>
      <c r="O1" s="190"/>
      <c r="P1" s="190"/>
      <c r="Q1" s="67"/>
    </row>
    <row r="2" spans="1:17" s="68" customFormat="1" ht="13.2" customHeight="1" x14ac:dyDescent="0.25">
      <c r="A2" s="190"/>
      <c r="B2" s="190"/>
      <c r="C2" s="190"/>
      <c r="D2" s="190"/>
      <c r="E2" s="190"/>
      <c r="F2" s="190"/>
      <c r="G2" s="190"/>
      <c r="H2" s="190"/>
      <c r="I2" s="190"/>
      <c r="J2" s="190"/>
      <c r="K2" s="190"/>
      <c r="L2" s="190"/>
      <c r="M2" s="190"/>
      <c r="N2" s="190"/>
      <c r="O2" s="190"/>
      <c r="P2" s="190"/>
      <c r="Q2" s="67"/>
    </row>
    <row r="3" spans="1:17" s="68" customFormat="1" ht="13.2" customHeight="1" x14ac:dyDescent="0.25">
      <c r="A3" s="190"/>
      <c r="B3" s="190"/>
      <c r="C3" s="190"/>
      <c r="D3" s="190"/>
      <c r="E3" s="190"/>
      <c r="F3" s="190"/>
      <c r="G3" s="190"/>
      <c r="H3" s="190"/>
      <c r="I3" s="190"/>
      <c r="J3" s="190"/>
      <c r="K3" s="190"/>
      <c r="L3" s="190"/>
      <c r="M3" s="190"/>
      <c r="N3" s="190"/>
      <c r="O3" s="190"/>
      <c r="P3" s="190"/>
      <c r="Q3" s="67"/>
    </row>
    <row r="4" spans="1:17" s="68" customFormat="1" ht="13.2" customHeight="1" x14ac:dyDescent="0.25">
      <c r="A4" s="190"/>
      <c r="B4" s="190"/>
      <c r="C4" s="190"/>
      <c r="D4" s="190"/>
      <c r="E4" s="190"/>
      <c r="F4" s="190"/>
      <c r="G4" s="190"/>
      <c r="H4" s="190"/>
      <c r="I4" s="190"/>
      <c r="J4" s="190"/>
      <c r="K4" s="190"/>
      <c r="L4" s="190"/>
      <c r="M4" s="190"/>
      <c r="N4" s="190"/>
      <c r="O4" s="190"/>
      <c r="P4" s="190"/>
      <c r="Q4" s="67"/>
    </row>
    <row r="5" spans="1:17" s="68" customFormat="1" ht="13.2" customHeight="1" x14ac:dyDescent="0.25">
      <c r="A5" s="190"/>
      <c r="B5" s="190"/>
      <c r="C5" s="190"/>
      <c r="D5" s="190"/>
      <c r="E5" s="190"/>
      <c r="F5" s="190"/>
      <c r="G5" s="190"/>
      <c r="H5" s="190"/>
      <c r="I5" s="190"/>
      <c r="J5" s="190"/>
      <c r="K5" s="190"/>
      <c r="L5" s="190"/>
      <c r="M5" s="190"/>
      <c r="N5" s="190"/>
      <c r="O5" s="190"/>
      <c r="P5" s="190"/>
      <c r="Q5" s="67"/>
    </row>
    <row r="6" spans="1:17" s="68" customFormat="1" ht="13.2" customHeight="1" x14ac:dyDescent="0.25">
      <c r="A6" s="1"/>
      <c r="B6" s="1"/>
      <c r="C6" s="1"/>
      <c r="D6" s="1"/>
      <c r="E6" s="1"/>
      <c r="F6" s="1"/>
      <c r="G6" s="1"/>
      <c r="H6" s="1"/>
      <c r="I6" s="1"/>
      <c r="J6" s="1"/>
      <c r="K6" s="1"/>
      <c r="L6" s="1"/>
      <c r="M6" s="1"/>
      <c r="N6" s="1"/>
      <c r="O6" s="1"/>
      <c r="P6" s="1"/>
      <c r="Q6" s="67"/>
    </row>
    <row r="7" spans="1:17" s="68" customFormat="1" ht="15.75" customHeight="1" x14ac:dyDescent="0.25">
      <c r="A7" s="1"/>
      <c r="B7" s="197" t="s">
        <v>1</v>
      </c>
      <c r="C7" s="198"/>
      <c r="D7" s="198"/>
      <c r="E7" s="198"/>
      <c r="F7" s="198"/>
      <c r="G7" s="199"/>
      <c r="H7" s="1"/>
      <c r="I7" s="197" t="s">
        <v>2</v>
      </c>
      <c r="J7" s="198"/>
      <c r="K7" s="198"/>
      <c r="L7" s="198"/>
      <c r="M7" s="198"/>
      <c r="N7" s="198"/>
      <c r="O7" s="199"/>
      <c r="P7" s="1"/>
      <c r="Q7" s="67"/>
    </row>
    <row r="8" spans="1:17" s="68" customFormat="1" ht="15.75" customHeight="1" x14ac:dyDescent="0.25">
      <c r="A8" s="1"/>
      <c r="B8" s="200"/>
      <c r="C8" s="190"/>
      <c r="D8" s="190"/>
      <c r="E8" s="190"/>
      <c r="F8" s="190"/>
      <c r="G8" s="201"/>
      <c r="H8" s="1"/>
      <c r="I8" s="200"/>
      <c r="J8" s="190"/>
      <c r="K8" s="190"/>
      <c r="L8" s="190"/>
      <c r="M8" s="190"/>
      <c r="N8" s="190"/>
      <c r="O8" s="201"/>
      <c r="P8" s="1"/>
      <c r="Q8" s="67"/>
    </row>
    <row r="9" spans="1:17" s="68" customFormat="1" ht="13.2" customHeight="1" x14ac:dyDescent="0.25">
      <c r="A9" s="67"/>
      <c r="B9" s="6"/>
      <c r="C9" s="13"/>
      <c r="D9" s="13"/>
      <c r="E9" s="13"/>
      <c r="F9" s="13"/>
      <c r="G9" s="30"/>
      <c r="H9" s="67"/>
      <c r="I9" s="6"/>
      <c r="J9" s="13"/>
      <c r="K9" s="13"/>
      <c r="L9" s="13"/>
      <c r="M9" s="13"/>
      <c r="N9" s="13"/>
      <c r="O9" s="30"/>
      <c r="P9" s="67"/>
      <c r="Q9" s="67"/>
    </row>
    <row r="10" spans="1:17" s="68" customFormat="1" ht="13.8" customHeight="1" x14ac:dyDescent="0.25">
      <c r="A10" s="67"/>
      <c r="B10" s="6"/>
      <c r="C10" s="9" t="s">
        <v>3</v>
      </c>
      <c r="D10" s="10" t="s">
        <v>4</v>
      </c>
      <c r="E10" s="191"/>
      <c r="F10" s="192"/>
      <c r="G10" s="30"/>
      <c r="H10" s="67"/>
      <c r="I10" s="6"/>
      <c r="J10" s="193" t="s">
        <v>5</v>
      </c>
      <c r="K10" s="192"/>
      <c r="L10" s="13"/>
      <c r="M10" s="193" t="s">
        <v>6</v>
      </c>
      <c r="N10" s="192"/>
      <c r="O10" s="30"/>
      <c r="P10" s="67"/>
      <c r="Q10" s="67"/>
    </row>
    <row r="11" spans="1:17" s="68" customFormat="1" ht="13.8" customHeight="1" x14ac:dyDescent="0.25">
      <c r="A11" s="67"/>
      <c r="B11" s="6"/>
      <c r="C11" s="9" t="s">
        <v>7</v>
      </c>
      <c r="D11" s="10" t="s">
        <v>4</v>
      </c>
      <c r="E11" s="66"/>
      <c r="F11" s="2"/>
      <c r="G11" s="30"/>
      <c r="H11" s="67"/>
      <c r="I11" s="6"/>
      <c r="J11" s="28">
        <v>1</v>
      </c>
      <c r="K11" s="59"/>
      <c r="L11" s="13"/>
      <c r="M11" s="28">
        <v>1</v>
      </c>
      <c r="N11" s="59"/>
      <c r="O11" s="30"/>
      <c r="P11" s="67"/>
      <c r="Q11" s="67"/>
    </row>
    <row r="12" spans="1:17" s="68" customFormat="1" ht="13.8" customHeight="1" x14ac:dyDescent="0.25">
      <c r="A12" s="67"/>
      <c r="B12" s="6"/>
      <c r="C12" s="13"/>
      <c r="D12" s="13"/>
      <c r="E12" s="60"/>
      <c r="F12" s="60"/>
      <c r="G12" s="30"/>
      <c r="H12" s="67"/>
      <c r="I12" s="6"/>
      <c r="J12" s="28">
        <v>2</v>
      </c>
      <c r="K12" s="59"/>
      <c r="L12" s="13"/>
      <c r="M12" s="28">
        <v>2</v>
      </c>
      <c r="N12" s="59"/>
      <c r="O12" s="30"/>
      <c r="P12" s="67"/>
      <c r="Q12" s="67"/>
    </row>
    <row r="13" spans="1:17" s="68" customFormat="1" ht="13.8" customHeight="1" x14ac:dyDescent="0.25">
      <c r="A13" s="67"/>
      <c r="B13" s="6"/>
      <c r="C13" s="61" t="s">
        <v>8</v>
      </c>
      <c r="D13" s="62" t="s">
        <v>4</v>
      </c>
      <c r="E13" s="194"/>
      <c r="F13" s="192"/>
      <c r="G13" s="30"/>
      <c r="H13" s="67"/>
      <c r="I13" s="6"/>
      <c r="J13" s="28">
        <v>3</v>
      </c>
      <c r="K13" s="59"/>
      <c r="L13" s="13"/>
      <c r="M13" s="28">
        <v>3</v>
      </c>
      <c r="N13" s="59"/>
      <c r="O13" s="30"/>
      <c r="P13" s="67"/>
      <c r="Q13" s="67"/>
    </row>
    <row r="14" spans="1:17" s="68" customFormat="1" ht="13.8" customHeight="1" x14ac:dyDescent="0.25">
      <c r="A14" s="67"/>
      <c r="B14" s="6"/>
      <c r="C14" s="63" t="s">
        <v>9</v>
      </c>
      <c r="D14" s="64" t="s">
        <v>4</v>
      </c>
      <c r="E14" s="195"/>
      <c r="F14" s="196"/>
      <c r="G14" s="30"/>
      <c r="H14" s="67"/>
      <c r="I14" s="6"/>
      <c r="J14" s="28">
        <v>4</v>
      </c>
      <c r="K14" s="59"/>
      <c r="L14" s="13"/>
      <c r="M14" s="28">
        <v>4</v>
      </c>
      <c r="N14" s="59"/>
      <c r="O14" s="30"/>
      <c r="P14" s="67"/>
      <c r="Q14" s="67"/>
    </row>
    <row r="15" spans="1:17" s="68" customFormat="1" ht="13.8" customHeight="1" x14ac:dyDescent="0.25">
      <c r="A15" s="67"/>
      <c r="B15" s="6"/>
      <c r="C15" s="61" t="s">
        <v>10</v>
      </c>
      <c r="D15" s="62" t="s">
        <v>4</v>
      </c>
      <c r="E15" s="191"/>
      <c r="F15" s="192"/>
      <c r="G15" s="30"/>
      <c r="H15" s="67"/>
      <c r="I15" s="6"/>
      <c r="J15" s="28">
        <v>5</v>
      </c>
      <c r="K15" s="59"/>
      <c r="L15" s="13"/>
      <c r="M15" s="28">
        <v>5</v>
      </c>
      <c r="N15" s="59"/>
      <c r="O15" s="30"/>
      <c r="P15" s="67"/>
      <c r="Q15" s="67"/>
    </row>
    <row r="16" spans="1:17" s="68" customFormat="1" ht="13.8" customHeight="1" x14ac:dyDescent="0.25">
      <c r="A16" s="67"/>
      <c r="B16" s="6"/>
      <c r="C16" s="61" t="s">
        <v>11</v>
      </c>
      <c r="D16" s="62" t="s">
        <v>4</v>
      </c>
      <c r="E16" s="194"/>
      <c r="F16" s="192"/>
      <c r="G16" s="30"/>
      <c r="H16" s="67"/>
      <c r="I16" s="6"/>
      <c r="J16" s="28">
        <v>6</v>
      </c>
      <c r="K16" s="59"/>
      <c r="L16" s="13"/>
      <c r="M16" s="28">
        <v>6</v>
      </c>
      <c r="N16" s="59"/>
      <c r="O16" s="30"/>
      <c r="P16" s="67"/>
      <c r="Q16" s="67"/>
    </row>
    <row r="17" spans="1:17" s="68" customFormat="1" ht="14.4" customHeight="1" x14ac:dyDescent="0.25">
      <c r="A17" s="67"/>
      <c r="B17" s="3"/>
      <c r="C17" s="4"/>
      <c r="D17" s="4"/>
      <c r="E17" s="4"/>
      <c r="F17" s="4"/>
      <c r="G17" s="5"/>
      <c r="H17" s="67"/>
      <c r="I17" s="6"/>
      <c r="J17" s="28">
        <v>7</v>
      </c>
      <c r="K17" s="59"/>
      <c r="L17" s="13"/>
      <c r="M17" s="28">
        <v>7</v>
      </c>
      <c r="N17" s="59"/>
      <c r="O17" s="30"/>
      <c r="P17" s="67"/>
      <c r="Q17" s="67"/>
    </row>
    <row r="18" spans="1:17" s="68" customFormat="1" ht="13.8" customHeight="1" x14ac:dyDescent="0.25">
      <c r="A18" s="67"/>
      <c r="B18" s="67"/>
      <c r="C18" s="67"/>
      <c r="D18" s="67"/>
      <c r="E18" s="67"/>
      <c r="F18" s="67"/>
      <c r="G18" s="67"/>
      <c r="H18" s="67"/>
      <c r="I18" s="6"/>
      <c r="J18" s="28">
        <v>8</v>
      </c>
      <c r="K18" s="59"/>
      <c r="L18" s="13"/>
      <c r="M18" s="28">
        <v>8</v>
      </c>
      <c r="N18" s="59"/>
      <c r="O18" s="30"/>
      <c r="P18" s="67"/>
      <c r="Q18" s="67"/>
    </row>
    <row r="19" spans="1:17" s="68" customFormat="1" ht="14.4" customHeight="1" x14ac:dyDescent="0.25">
      <c r="A19" s="67"/>
      <c r="B19" s="67"/>
      <c r="C19" s="67"/>
      <c r="D19" s="67"/>
      <c r="E19" s="67"/>
      <c r="F19" s="67"/>
      <c r="G19" s="67"/>
      <c r="H19" s="67"/>
      <c r="I19" s="6"/>
      <c r="J19" s="28">
        <v>9</v>
      </c>
      <c r="K19" s="59"/>
      <c r="L19" s="13"/>
      <c r="M19" s="28">
        <v>9</v>
      </c>
      <c r="N19" s="59"/>
      <c r="O19" s="30"/>
      <c r="P19" s="67"/>
      <c r="Q19" s="67"/>
    </row>
    <row r="20" spans="1:17" s="68" customFormat="1" ht="13.8" customHeight="1" x14ac:dyDescent="0.25">
      <c r="A20" s="67"/>
      <c r="B20" s="197" t="s">
        <v>12</v>
      </c>
      <c r="C20" s="198"/>
      <c r="D20" s="198"/>
      <c r="E20" s="198"/>
      <c r="F20" s="198"/>
      <c r="G20" s="199"/>
      <c r="H20" s="67"/>
      <c r="I20" s="6"/>
      <c r="J20" s="28">
        <v>10</v>
      </c>
      <c r="K20" s="59"/>
      <c r="L20" s="13"/>
      <c r="M20" s="28">
        <v>10</v>
      </c>
      <c r="N20" s="59"/>
      <c r="O20" s="30"/>
      <c r="P20" s="67"/>
      <c r="Q20" s="67"/>
    </row>
    <row r="21" spans="1:17" s="68" customFormat="1" ht="13.8" customHeight="1" x14ac:dyDescent="0.25">
      <c r="A21" s="67"/>
      <c r="B21" s="200"/>
      <c r="C21" s="190"/>
      <c r="D21" s="190"/>
      <c r="E21" s="190"/>
      <c r="F21" s="190"/>
      <c r="G21" s="201"/>
      <c r="H21" s="67"/>
      <c r="I21" s="6"/>
      <c r="J21" s="28">
        <v>11</v>
      </c>
      <c r="K21" s="59"/>
      <c r="L21" s="13"/>
      <c r="M21" s="28">
        <v>11</v>
      </c>
      <c r="N21" s="59"/>
      <c r="O21" s="30"/>
      <c r="P21" s="67"/>
      <c r="Q21" s="67"/>
    </row>
    <row r="22" spans="1:17" s="68" customFormat="1" ht="13.8" customHeight="1" x14ac:dyDescent="0.25">
      <c r="A22" s="67"/>
      <c r="B22" s="6"/>
      <c r="C22" s="13"/>
      <c r="D22" s="13"/>
      <c r="E22" s="13"/>
      <c r="F22" s="13"/>
      <c r="G22" s="30"/>
      <c r="H22" s="67"/>
      <c r="I22" s="6"/>
      <c r="J22" s="28">
        <v>12</v>
      </c>
      <c r="K22" s="59"/>
      <c r="L22" s="13"/>
      <c r="M22" s="28">
        <v>12</v>
      </c>
      <c r="N22" s="59"/>
      <c r="O22" s="30"/>
      <c r="P22" s="67"/>
      <c r="Q22" s="67"/>
    </row>
    <row r="23" spans="1:17" s="68" customFormat="1" ht="13.8" customHeight="1" x14ac:dyDescent="0.25">
      <c r="A23" s="67"/>
      <c r="B23" s="6"/>
      <c r="C23" s="7" t="s">
        <v>13</v>
      </c>
      <c r="D23" s="8" t="s">
        <v>4</v>
      </c>
      <c r="E23" s="194"/>
      <c r="F23" s="192"/>
      <c r="G23" s="30"/>
      <c r="H23" s="67"/>
      <c r="I23" s="6"/>
      <c r="J23" s="28">
        <v>13</v>
      </c>
      <c r="K23" s="59"/>
      <c r="L23" s="13"/>
      <c r="M23" s="28">
        <v>13</v>
      </c>
      <c r="N23" s="59"/>
      <c r="O23" s="30"/>
      <c r="P23" s="67"/>
      <c r="Q23" s="67"/>
    </row>
    <row r="24" spans="1:17" s="68" customFormat="1" ht="13.8" customHeight="1" x14ac:dyDescent="0.25">
      <c r="A24" s="67"/>
      <c r="B24" s="6"/>
      <c r="C24" s="7" t="s">
        <v>14</v>
      </c>
      <c r="D24" s="8" t="s">
        <v>4</v>
      </c>
      <c r="E24" s="191"/>
      <c r="F24" s="192"/>
      <c r="G24" s="30"/>
      <c r="H24" s="67"/>
      <c r="I24" s="6"/>
      <c r="J24" s="28">
        <v>14</v>
      </c>
      <c r="K24" s="59"/>
      <c r="L24" s="13"/>
      <c r="M24" s="28">
        <v>14</v>
      </c>
      <c r="N24" s="59"/>
      <c r="O24" s="30"/>
      <c r="P24" s="67"/>
      <c r="Q24" s="67"/>
    </row>
    <row r="25" spans="1:17" s="68" customFormat="1" ht="15.75" customHeight="1" x14ac:dyDescent="0.25">
      <c r="A25" s="67"/>
      <c r="B25" s="6"/>
      <c r="C25" s="9" t="s">
        <v>15</v>
      </c>
      <c r="D25" s="10" t="s">
        <v>4</v>
      </c>
      <c r="E25" s="194"/>
      <c r="F25" s="192"/>
      <c r="G25" s="30"/>
      <c r="H25" s="67"/>
      <c r="I25" s="6"/>
      <c r="J25" s="28">
        <v>15</v>
      </c>
      <c r="K25" s="59"/>
      <c r="L25" s="13"/>
      <c r="M25" s="28">
        <v>15</v>
      </c>
      <c r="N25" s="59"/>
      <c r="O25" s="30"/>
      <c r="P25" s="67"/>
      <c r="Q25" s="67"/>
    </row>
    <row r="26" spans="1:17" s="68" customFormat="1" ht="13.8" customHeight="1" x14ac:dyDescent="0.25">
      <c r="A26" s="67"/>
      <c r="B26" s="6"/>
      <c r="C26" s="11" t="s">
        <v>16</v>
      </c>
      <c r="D26" s="12" t="s">
        <v>4</v>
      </c>
      <c r="E26" s="194"/>
      <c r="F26" s="192"/>
      <c r="G26" s="30"/>
      <c r="H26" s="67"/>
      <c r="I26" s="6"/>
      <c r="J26" s="28">
        <v>16</v>
      </c>
      <c r="K26" s="59"/>
      <c r="L26" s="13"/>
      <c r="M26" s="28">
        <v>16</v>
      </c>
      <c r="N26" s="59"/>
      <c r="O26" s="30"/>
      <c r="P26" s="67"/>
      <c r="Q26" s="67"/>
    </row>
    <row r="27" spans="1:17" s="68" customFormat="1" ht="13.8" customHeight="1" x14ac:dyDescent="0.25">
      <c r="A27" s="67"/>
      <c r="B27" s="6"/>
      <c r="C27" s="13"/>
      <c r="D27" s="13"/>
      <c r="E27" s="13"/>
      <c r="F27" s="13"/>
      <c r="G27" s="30"/>
      <c r="H27" s="67"/>
      <c r="I27" s="6"/>
      <c r="J27" s="28">
        <v>17</v>
      </c>
      <c r="K27" s="59"/>
      <c r="L27" s="13"/>
      <c r="M27" s="28">
        <v>17</v>
      </c>
      <c r="N27" s="59"/>
      <c r="O27" s="30"/>
      <c r="P27" s="67"/>
      <c r="Q27" s="67"/>
    </row>
    <row r="28" spans="1:17" s="68" customFormat="1" ht="13.95" customHeight="1" x14ac:dyDescent="0.25">
      <c r="A28" s="67"/>
      <c r="B28" s="35"/>
      <c r="C28" s="211" t="s">
        <v>17</v>
      </c>
      <c r="D28" s="190"/>
      <c r="E28" s="190"/>
      <c r="F28" s="190"/>
      <c r="G28" s="36"/>
      <c r="H28" s="67"/>
      <c r="I28" s="6"/>
      <c r="J28" s="28">
        <v>18</v>
      </c>
      <c r="K28" s="59"/>
      <c r="L28" s="13"/>
      <c r="M28" s="28">
        <v>18</v>
      </c>
      <c r="N28" s="59"/>
      <c r="O28" s="30"/>
      <c r="P28" s="67"/>
      <c r="Q28" s="67"/>
    </row>
    <row r="29" spans="1:17" s="68" customFormat="1" ht="13.8" customHeight="1" x14ac:dyDescent="0.25">
      <c r="A29" s="67"/>
      <c r="B29" s="35"/>
      <c r="C29" s="190"/>
      <c r="D29" s="190"/>
      <c r="E29" s="190"/>
      <c r="F29" s="190"/>
      <c r="G29" s="36"/>
      <c r="H29" s="67"/>
      <c r="I29" s="6"/>
      <c r="J29" s="28">
        <v>19</v>
      </c>
      <c r="K29" s="59"/>
      <c r="L29" s="13"/>
      <c r="M29" s="28">
        <v>19</v>
      </c>
      <c r="N29" s="59"/>
      <c r="O29" s="30"/>
      <c r="P29" s="67"/>
      <c r="Q29" s="67"/>
    </row>
    <row r="30" spans="1:17" s="68" customFormat="1" ht="13.8" customHeight="1" x14ac:dyDescent="0.25">
      <c r="A30" s="67"/>
      <c r="B30" s="35"/>
      <c r="C30" s="190"/>
      <c r="D30" s="190"/>
      <c r="E30" s="190"/>
      <c r="F30" s="190"/>
      <c r="G30" s="36"/>
      <c r="H30" s="67"/>
      <c r="I30" s="6"/>
      <c r="J30" s="28">
        <v>20</v>
      </c>
      <c r="K30" s="59"/>
      <c r="L30" s="13"/>
      <c r="M30" s="28">
        <v>20</v>
      </c>
      <c r="N30" s="59"/>
      <c r="O30" s="30"/>
      <c r="P30" s="67"/>
      <c r="Q30" s="67"/>
    </row>
    <row r="31" spans="1:17" s="68" customFormat="1" ht="13.8" customHeight="1" x14ac:dyDescent="0.25">
      <c r="A31" s="67"/>
      <c r="B31" s="35"/>
      <c r="C31" s="190"/>
      <c r="D31" s="190"/>
      <c r="E31" s="190"/>
      <c r="F31" s="190"/>
      <c r="G31" s="36"/>
      <c r="H31" s="67"/>
      <c r="I31" s="6"/>
      <c r="J31" s="28">
        <v>21</v>
      </c>
      <c r="K31" s="59"/>
      <c r="L31" s="13"/>
      <c r="M31" s="28">
        <v>21</v>
      </c>
      <c r="N31" s="59"/>
      <c r="O31" s="30"/>
      <c r="P31" s="67"/>
      <c r="Q31" s="67"/>
    </row>
    <row r="32" spans="1:17" s="68" customFormat="1" ht="14.4" customHeight="1" x14ac:dyDescent="0.25">
      <c r="A32" s="67"/>
      <c r="B32" s="14"/>
      <c r="C32" s="65"/>
      <c r="D32" s="65"/>
      <c r="E32" s="65"/>
      <c r="F32" s="65"/>
      <c r="G32" s="15"/>
      <c r="H32" s="67"/>
      <c r="I32" s="6"/>
      <c r="J32" s="28">
        <v>22</v>
      </c>
      <c r="K32" s="59"/>
      <c r="L32" s="13"/>
      <c r="M32" s="28">
        <v>22</v>
      </c>
      <c r="N32" s="59"/>
      <c r="O32" s="30"/>
      <c r="P32" s="67"/>
      <c r="Q32" s="67"/>
    </row>
    <row r="33" spans="1:17" s="68" customFormat="1" ht="13.8" customHeight="1" x14ac:dyDescent="0.25">
      <c r="A33" s="67"/>
      <c r="B33" s="67"/>
      <c r="C33" s="67"/>
      <c r="D33" s="67"/>
      <c r="E33" s="67"/>
      <c r="F33" s="67"/>
      <c r="G33" s="67"/>
      <c r="H33" s="67"/>
      <c r="I33" s="6"/>
      <c r="J33" s="28">
        <v>23</v>
      </c>
      <c r="K33" s="59"/>
      <c r="L33" s="13"/>
      <c r="M33" s="28">
        <v>23</v>
      </c>
      <c r="N33" s="59"/>
      <c r="O33" s="30"/>
      <c r="P33" s="67"/>
      <c r="Q33" s="67"/>
    </row>
    <row r="34" spans="1:17" s="68" customFormat="1" ht="13.8" customHeight="1" x14ac:dyDescent="0.25">
      <c r="A34" s="67"/>
      <c r="B34" s="67"/>
      <c r="C34" s="67"/>
      <c r="D34" s="67"/>
      <c r="E34" s="67"/>
      <c r="F34" s="67"/>
      <c r="G34" s="67"/>
      <c r="H34" s="67"/>
      <c r="I34" s="6"/>
      <c r="J34" s="28">
        <v>24</v>
      </c>
      <c r="K34" s="59"/>
      <c r="L34" s="13"/>
      <c r="M34" s="28">
        <v>24</v>
      </c>
      <c r="N34" s="59"/>
      <c r="O34" s="30"/>
      <c r="P34" s="67"/>
      <c r="Q34" s="67"/>
    </row>
    <row r="35" spans="1:17" s="68" customFormat="1" ht="13.8" customHeight="1" thickBot="1" x14ac:dyDescent="0.3">
      <c r="A35" s="67"/>
      <c r="B35" s="67"/>
      <c r="C35" s="67"/>
      <c r="D35" s="67"/>
      <c r="E35" s="67"/>
      <c r="F35" s="67"/>
      <c r="G35" s="67"/>
      <c r="H35" s="67"/>
      <c r="I35" s="6"/>
      <c r="J35" s="28">
        <v>25</v>
      </c>
      <c r="K35" s="59"/>
      <c r="L35" s="13"/>
      <c r="M35" s="28">
        <v>25</v>
      </c>
      <c r="N35" s="59"/>
      <c r="O35" s="30"/>
      <c r="P35" s="67"/>
      <c r="Q35" s="67"/>
    </row>
    <row r="36" spans="1:17" s="68" customFormat="1" ht="13.8" customHeight="1" x14ac:dyDescent="0.25">
      <c r="A36" s="67"/>
      <c r="B36" s="202" t="s">
        <v>66</v>
      </c>
      <c r="C36" s="203"/>
      <c r="D36" s="203"/>
      <c r="E36" s="203"/>
      <c r="F36" s="203"/>
      <c r="G36" s="204"/>
      <c r="H36" s="67"/>
      <c r="I36" s="6"/>
      <c r="J36" s="28">
        <v>26</v>
      </c>
      <c r="K36" s="59"/>
      <c r="L36" s="13"/>
      <c r="M36" s="28">
        <v>26</v>
      </c>
      <c r="N36" s="59"/>
      <c r="O36" s="30"/>
      <c r="P36" s="67"/>
      <c r="Q36" s="67"/>
    </row>
    <row r="37" spans="1:17" s="68" customFormat="1" ht="13.8" customHeight="1" x14ac:dyDescent="0.25">
      <c r="A37" s="67"/>
      <c r="B37" s="205"/>
      <c r="C37" s="206"/>
      <c r="D37" s="206"/>
      <c r="E37" s="206"/>
      <c r="F37" s="206"/>
      <c r="G37" s="207"/>
      <c r="H37" s="67"/>
      <c r="I37" s="6"/>
      <c r="J37" s="28">
        <v>27</v>
      </c>
      <c r="K37" s="59"/>
      <c r="L37" s="13"/>
      <c r="M37" s="28">
        <v>27</v>
      </c>
      <c r="N37" s="59"/>
      <c r="O37" s="30"/>
      <c r="P37" s="67"/>
      <c r="Q37" s="67"/>
    </row>
    <row r="38" spans="1:17" s="68" customFormat="1" ht="13.8" customHeight="1" thickBot="1" x14ac:dyDescent="0.3">
      <c r="A38" s="67"/>
      <c r="B38" s="208"/>
      <c r="C38" s="209"/>
      <c r="D38" s="209"/>
      <c r="E38" s="209"/>
      <c r="F38" s="209"/>
      <c r="G38" s="210"/>
      <c r="H38" s="67"/>
      <c r="I38" s="6"/>
      <c r="J38" s="28">
        <v>28</v>
      </c>
      <c r="K38" s="59"/>
      <c r="L38" s="13"/>
      <c r="M38" s="28">
        <v>28</v>
      </c>
      <c r="N38" s="59"/>
      <c r="O38" s="30"/>
      <c r="P38" s="67"/>
      <c r="Q38" s="67"/>
    </row>
    <row r="39" spans="1:17" s="68" customFormat="1" ht="13.8" customHeight="1" x14ac:dyDescent="0.25">
      <c r="A39" s="67"/>
      <c r="B39" s="67"/>
      <c r="C39" s="67"/>
      <c r="D39" s="67"/>
      <c r="E39" s="67"/>
      <c r="F39" s="67"/>
      <c r="G39" s="67"/>
      <c r="H39" s="67"/>
      <c r="I39" s="6"/>
      <c r="J39" s="28">
        <v>29</v>
      </c>
      <c r="K39" s="59"/>
      <c r="L39" s="13"/>
      <c r="M39" s="28">
        <v>29</v>
      </c>
      <c r="N39" s="59"/>
      <c r="O39" s="30"/>
      <c r="P39" s="67"/>
      <c r="Q39" s="67"/>
    </row>
    <row r="40" spans="1:17" s="68" customFormat="1" ht="13.8" customHeight="1" x14ac:dyDescent="0.25">
      <c r="A40" s="67"/>
      <c r="B40" s="67"/>
      <c r="C40" s="67"/>
      <c r="D40" s="67"/>
      <c r="E40" s="67"/>
      <c r="F40" s="67"/>
      <c r="G40" s="67"/>
      <c r="H40" s="67"/>
      <c r="I40" s="6"/>
      <c r="J40" s="28">
        <v>30</v>
      </c>
      <c r="K40" s="59"/>
      <c r="L40" s="13"/>
      <c r="M40" s="28">
        <v>30</v>
      </c>
      <c r="N40" s="59"/>
      <c r="O40" s="30"/>
      <c r="P40" s="67"/>
      <c r="Q40" s="67"/>
    </row>
    <row r="41" spans="1:17" s="68" customFormat="1" ht="13.8" customHeight="1" x14ac:dyDescent="0.25">
      <c r="A41" s="67"/>
      <c r="B41" s="67"/>
      <c r="C41" s="67"/>
      <c r="D41" s="67"/>
      <c r="E41" s="67"/>
      <c r="F41" s="67"/>
      <c r="G41" s="67"/>
      <c r="H41" s="67"/>
      <c r="I41" s="6"/>
      <c r="J41" s="28">
        <v>31</v>
      </c>
      <c r="K41" s="59"/>
      <c r="L41" s="13"/>
      <c r="M41" s="28">
        <v>31</v>
      </c>
      <c r="N41" s="59"/>
      <c r="O41" s="30"/>
      <c r="P41" s="67"/>
      <c r="Q41" s="67"/>
    </row>
    <row r="42" spans="1:17" s="68" customFormat="1" ht="13.8" customHeight="1" x14ac:dyDescent="0.25">
      <c r="A42" s="67"/>
      <c r="B42" s="67"/>
      <c r="C42" s="67"/>
      <c r="D42" s="67"/>
      <c r="E42" s="67"/>
      <c r="F42" s="67"/>
      <c r="G42" s="67"/>
      <c r="H42" s="67"/>
      <c r="I42" s="6"/>
      <c r="J42" s="28">
        <v>32</v>
      </c>
      <c r="K42" s="59"/>
      <c r="L42" s="13"/>
      <c r="M42" s="28">
        <v>32</v>
      </c>
      <c r="N42" s="59"/>
      <c r="O42" s="30"/>
      <c r="P42" s="67"/>
      <c r="Q42" s="67"/>
    </row>
    <row r="43" spans="1:17" s="68" customFormat="1" ht="13.8" customHeight="1" x14ac:dyDescent="0.25">
      <c r="A43" s="67"/>
      <c r="B43" s="67"/>
      <c r="C43" s="67"/>
      <c r="D43" s="67"/>
      <c r="E43" s="67"/>
      <c r="F43" s="67"/>
      <c r="G43" s="67"/>
      <c r="H43" s="67"/>
      <c r="I43" s="6"/>
      <c r="J43" s="28">
        <v>33</v>
      </c>
      <c r="K43" s="59"/>
      <c r="L43" s="13"/>
      <c r="M43" s="28">
        <v>33</v>
      </c>
      <c r="N43" s="59"/>
      <c r="O43" s="30"/>
      <c r="P43" s="67"/>
      <c r="Q43" s="67"/>
    </row>
    <row r="44" spans="1:17" s="68" customFormat="1" ht="13.8" customHeight="1" x14ac:dyDescent="0.25">
      <c r="A44" s="67"/>
      <c r="B44" s="67"/>
      <c r="C44" s="67"/>
      <c r="D44" s="67"/>
      <c r="E44" s="67"/>
      <c r="F44" s="67"/>
      <c r="G44" s="67"/>
      <c r="H44" s="67"/>
      <c r="I44" s="6"/>
      <c r="J44" s="28">
        <v>34</v>
      </c>
      <c r="K44" s="59"/>
      <c r="L44" s="13"/>
      <c r="M44" s="28">
        <v>34</v>
      </c>
      <c r="N44" s="59"/>
      <c r="O44" s="30"/>
      <c r="P44" s="67"/>
      <c r="Q44" s="67"/>
    </row>
    <row r="45" spans="1:17" s="68" customFormat="1" ht="13.8" customHeight="1" x14ac:dyDescent="0.25">
      <c r="A45" s="67"/>
      <c r="B45" s="67"/>
      <c r="C45" s="67"/>
      <c r="D45" s="67"/>
      <c r="E45" s="67"/>
      <c r="F45" s="67"/>
      <c r="G45" s="67"/>
      <c r="H45" s="67"/>
      <c r="I45" s="6"/>
      <c r="J45" s="28">
        <v>35</v>
      </c>
      <c r="K45" s="59"/>
      <c r="L45" s="13"/>
      <c r="M45" s="28">
        <v>35</v>
      </c>
      <c r="N45" s="59"/>
      <c r="O45" s="30"/>
      <c r="P45" s="67"/>
      <c r="Q45" s="67"/>
    </row>
    <row r="46" spans="1:17" s="68" customFormat="1" ht="13.8" customHeight="1" x14ac:dyDescent="0.25">
      <c r="A46" s="67"/>
      <c r="B46" s="67"/>
      <c r="C46" s="67"/>
      <c r="D46" s="67"/>
      <c r="E46" s="67"/>
      <c r="F46" s="67"/>
      <c r="G46" s="67"/>
      <c r="H46" s="67"/>
      <c r="I46" s="6"/>
      <c r="J46" s="28">
        <v>36</v>
      </c>
      <c r="K46" s="59"/>
      <c r="L46" s="13"/>
      <c r="M46" s="28">
        <v>36</v>
      </c>
      <c r="N46" s="59"/>
      <c r="O46" s="30"/>
      <c r="P46" s="67"/>
      <c r="Q46" s="67"/>
    </row>
    <row r="47" spans="1:17" s="68" customFormat="1" ht="13.8" customHeight="1" x14ac:dyDescent="0.25">
      <c r="A47" s="67"/>
      <c r="B47" s="67"/>
      <c r="C47" s="67"/>
      <c r="D47" s="67"/>
      <c r="E47" s="67"/>
      <c r="F47" s="67"/>
      <c r="G47" s="67"/>
      <c r="H47" s="67"/>
      <c r="I47" s="6"/>
      <c r="J47" s="28">
        <v>37</v>
      </c>
      <c r="K47" s="59"/>
      <c r="L47" s="13"/>
      <c r="M47" s="28">
        <v>37</v>
      </c>
      <c r="N47" s="59"/>
      <c r="O47" s="30"/>
      <c r="P47" s="67"/>
      <c r="Q47" s="67"/>
    </row>
    <row r="48" spans="1:17" s="68" customFormat="1" ht="13.8" customHeight="1" x14ac:dyDescent="0.25">
      <c r="A48" s="67"/>
      <c r="B48" s="67"/>
      <c r="C48" s="67"/>
      <c r="D48" s="67"/>
      <c r="E48" s="67"/>
      <c r="F48" s="67"/>
      <c r="G48" s="67"/>
      <c r="H48" s="67"/>
      <c r="I48" s="6"/>
      <c r="J48" s="28">
        <v>38</v>
      </c>
      <c r="K48" s="59"/>
      <c r="L48" s="13"/>
      <c r="M48" s="28">
        <v>38</v>
      </c>
      <c r="N48" s="59"/>
      <c r="O48" s="30"/>
      <c r="P48" s="67"/>
      <c r="Q48" s="67"/>
    </row>
    <row r="49" spans="1:17" s="68" customFormat="1" ht="13.8" customHeight="1" x14ac:dyDescent="0.25">
      <c r="A49" s="67"/>
      <c r="B49" s="67"/>
      <c r="C49" s="67"/>
      <c r="D49" s="67"/>
      <c r="E49" s="67"/>
      <c r="F49" s="67"/>
      <c r="G49" s="67"/>
      <c r="H49" s="67"/>
      <c r="I49" s="6"/>
      <c r="J49" s="28">
        <v>39</v>
      </c>
      <c r="K49" s="59"/>
      <c r="L49" s="13"/>
      <c r="M49" s="28">
        <v>39</v>
      </c>
      <c r="N49" s="59"/>
      <c r="O49" s="30"/>
      <c r="P49" s="67"/>
      <c r="Q49" s="67"/>
    </row>
    <row r="50" spans="1:17" s="68" customFormat="1" ht="13.8" customHeight="1" x14ac:dyDescent="0.25">
      <c r="A50" s="67"/>
      <c r="B50" s="67"/>
      <c r="C50" s="67"/>
      <c r="D50" s="67"/>
      <c r="E50" s="67"/>
      <c r="F50" s="67"/>
      <c r="G50" s="67"/>
      <c r="H50" s="67"/>
      <c r="I50" s="6"/>
      <c r="J50" s="28">
        <v>40</v>
      </c>
      <c r="K50" s="59"/>
      <c r="L50" s="13"/>
      <c r="M50" s="28">
        <v>40</v>
      </c>
      <c r="N50" s="59"/>
      <c r="O50" s="30"/>
      <c r="P50" s="67"/>
      <c r="Q50" s="67"/>
    </row>
    <row r="51" spans="1:17" s="68" customFormat="1" ht="13.8" customHeight="1" x14ac:dyDescent="0.25">
      <c r="A51" s="67"/>
      <c r="B51" s="67"/>
      <c r="C51" s="67"/>
      <c r="D51" s="67"/>
      <c r="E51" s="67"/>
      <c r="F51" s="67"/>
      <c r="G51" s="67"/>
      <c r="H51" s="67"/>
      <c r="I51" s="6"/>
      <c r="J51" s="28">
        <v>41</v>
      </c>
      <c r="K51" s="59"/>
      <c r="L51" s="13"/>
      <c r="M51" s="28">
        <v>41</v>
      </c>
      <c r="N51" s="59"/>
      <c r="O51" s="30"/>
      <c r="P51" s="67"/>
      <c r="Q51" s="67"/>
    </row>
    <row r="52" spans="1:17" s="68" customFormat="1" ht="13.8" customHeight="1" x14ac:dyDescent="0.25">
      <c r="A52" s="67"/>
      <c r="B52" s="67"/>
      <c r="C52" s="67"/>
      <c r="D52" s="67"/>
      <c r="E52" s="67"/>
      <c r="F52" s="67"/>
      <c r="G52" s="67"/>
      <c r="H52" s="67"/>
      <c r="I52" s="6"/>
      <c r="J52" s="28">
        <v>42</v>
      </c>
      <c r="K52" s="59"/>
      <c r="L52" s="13"/>
      <c r="M52" s="28">
        <v>42</v>
      </c>
      <c r="N52" s="59"/>
      <c r="O52" s="30"/>
      <c r="P52" s="67"/>
      <c r="Q52" s="67"/>
    </row>
    <row r="53" spans="1:17" s="68" customFormat="1" ht="13.8" customHeight="1" x14ac:dyDescent="0.25">
      <c r="A53" s="67"/>
      <c r="B53" s="67"/>
      <c r="C53" s="67"/>
      <c r="D53" s="67"/>
      <c r="E53" s="67"/>
      <c r="F53" s="67"/>
      <c r="G53" s="67"/>
      <c r="H53" s="67"/>
      <c r="I53" s="6"/>
      <c r="J53" s="28">
        <v>43</v>
      </c>
      <c r="K53" s="59"/>
      <c r="L53" s="13"/>
      <c r="M53" s="28">
        <v>43</v>
      </c>
      <c r="N53" s="59"/>
      <c r="O53" s="30"/>
      <c r="P53" s="67"/>
      <c r="Q53" s="67"/>
    </row>
    <row r="54" spans="1:17" s="68" customFormat="1" ht="13.8" customHeight="1" x14ac:dyDescent="0.25">
      <c r="A54" s="67"/>
      <c r="B54" s="67"/>
      <c r="C54" s="67"/>
      <c r="D54" s="67"/>
      <c r="E54" s="67"/>
      <c r="F54" s="67"/>
      <c r="G54" s="67"/>
      <c r="H54" s="67"/>
      <c r="I54" s="6"/>
      <c r="J54" s="28">
        <v>44</v>
      </c>
      <c r="K54" s="59"/>
      <c r="L54" s="13"/>
      <c r="M54" s="28">
        <v>44</v>
      </c>
      <c r="N54" s="59"/>
      <c r="O54" s="30"/>
      <c r="P54" s="67"/>
      <c r="Q54" s="67"/>
    </row>
    <row r="55" spans="1:17" s="68" customFormat="1" ht="13.8" customHeight="1" x14ac:dyDescent="0.25">
      <c r="A55" s="67"/>
      <c r="B55" s="67"/>
      <c r="C55" s="67"/>
      <c r="D55" s="67"/>
      <c r="E55" s="67"/>
      <c r="F55" s="67"/>
      <c r="G55" s="67"/>
      <c r="H55" s="67"/>
      <c r="I55" s="6"/>
      <c r="J55" s="28">
        <v>45</v>
      </c>
      <c r="K55" s="59"/>
      <c r="L55" s="13"/>
      <c r="M55" s="28">
        <v>45</v>
      </c>
      <c r="N55" s="59"/>
      <c r="O55" s="30"/>
      <c r="P55" s="67"/>
      <c r="Q55" s="67"/>
    </row>
    <row r="56" spans="1:17" s="68" customFormat="1" ht="13.8" customHeight="1" x14ac:dyDescent="0.25">
      <c r="A56" s="67"/>
      <c r="B56" s="67"/>
      <c r="C56" s="67"/>
      <c r="D56" s="67"/>
      <c r="E56" s="67"/>
      <c r="F56" s="67"/>
      <c r="G56" s="67"/>
      <c r="H56" s="67"/>
      <c r="I56" s="6"/>
      <c r="J56" s="28">
        <v>46</v>
      </c>
      <c r="K56" s="59"/>
      <c r="L56" s="13"/>
      <c r="M56" s="28">
        <v>46</v>
      </c>
      <c r="N56" s="59"/>
      <c r="O56" s="30"/>
      <c r="P56" s="67"/>
      <c r="Q56" s="67"/>
    </row>
    <row r="57" spans="1:17" s="68" customFormat="1" ht="13.8" customHeight="1" x14ac:dyDescent="0.25">
      <c r="A57" s="67"/>
      <c r="B57" s="67"/>
      <c r="C57" s="67"/>
      <c r="D57" s="67"/>
      <c r="E57" s="67"/>
      <c r="F57" s="67"/>
      <c r="G57" s="67"/>
      <c r="H57" s="67"/>
      <c r="I57" s="6"/>
      <c r="J57" s="28">
        <v>47</v>
      </c>
      <c r="K57" s="59"/>
      <c r="L57" s="13"/>
      <c r="M57" s="28">
        <v>47</v>
      </c>
      <c r="N57" s="59"/>
      <c r="O57" s="30"/>
      <c r="P57" s="67"/>
      <c r="Q57" s="67"/>
    </row>
    <row r="58" spans="1:17" s="68" customFormat="1" ht="13.8" customHeight="1" x14ac:dyDescent="0.25">
      <c r="A58" s="67"/>
      <c r="B58" s="67"/>
      <c r="C58" s="67"/>
      <c r="D58" s="67"/>
      <c r="E58" s="67"/>
      <c r="F58" s="67"/>
      <c r="G58" s="67"/>
      <c r="H58" s="67"/>
      <c r="I58" s="6"/>
      <c r="J58" s="28">
        <v>48</v>
      </c>
      <c r="K58" s="59"/>
      <c r="L58" s="13"/>
      <c r="M58" s="28">
        <v>48</v>
      </c>
      <c r="N58" s="59"/>
      <c r="O58" s="30"/>
      <c r="P58" s="67"/>
      <c r="Q58" s="67"/>
    </row>
    <row r="59" spans="1:17" s="68" customFormat="1" ht="13.8" customHeight="1" x14ac:dyDescent="0.25">
      <c r="A59" s="67"/>
      <c r="B59" s="67"/>
      <c r="C59" s="67"/>
      <c r="D59" s="67"/>
      <c r="E59" s="67"/>
      <c r="F59" s="67"/>
      <c r="G59" s="67"/>
      <c r="H59" s="67"/>
      <c r="I59" s="6"/>
      <c r="J59" s="28">
        <v>49</v>
      </c>
      <c r="K59" s="59"/>
      <c r="L59" s="13"/>
      <c r="M59" s="28">
        <v>49</v>
      </c>
      <c r="N59" s="59"/>
      <c r="O59" s="30"/>
      <c r="P59" s="67"/>
      <c r="Q59" s="67"/>
    </row>
    <row r="60" spans="1:17" s="68" customFormat="1" ht="13.8" customHeight="1" x14ac:dyDescent="0.25">
      <c r="A60" s="67"/>
      <c r="B60" s="67"/>
      <c r="C60" s="67"/>
      <c r="D60" s="67"/>
      <c r="E60" s="67"/>
      <c r="F60" s="67"/>
      <c r="G60" s="67"/>
      <c r="H60" s="67"/>
      <c r="I60" s="29"/>
      <c r="J60" s="28">
        <v>50</v>
      </c>
      <c r="K60" s="59"/>
      <c r="L60" s="13"/>
      <c r="M60" s="28">
        <v>50</v>
      </c>
      <c r="N60" s="59"/>
      <c r="O60" s="30"/>
      <c r="P60" s="67"/>
      <c r="Q60" s="67"/>
    </row>
    <row r="61" spans="1:17" s="68" customFormat="1" ht="13.8" customHeight="1" x14ac:dyDescent="0.25">
      <c r="A61" s="67"/>
      <c r="B61" s="67"/>
      <c r="C61" s="67"/>
      <c r="D61" s="67"/>
      <c r="E61" s="67"/>
      <c r="F61" s="67"/>
      <c r="G61" s="67"/>
      <c r="H61" s="67"/>
      <c r="I61" s="31"/>
      <c r="J61" s="32"/>
      <c r="K61" s="33"/>
      <c r="L61" s="33"/>
      <c r="M61" s="33"/>
      <c r="N61" s="32"/>
      <c r="O61" s="34"/>
      <c r="P61" s="67"/>
      <c r="Q61" s="67"/>
    </row>
    <row r="62" spans="1:17" s="68" customFormat="1" ht="13.2" customHeight="1" x14ac:dyDescent="0.25">
      <c r="A62" s="67"/>
      <c r="B62" s="67"/>
      <c r="C62" s="67"/>
      <c r="D62" s="67"/>
      <c r="E62" s="67"/>
      <c r="F62" s="67"/>
      <c r="G62" s="67"/>
      <c r="H62" s="67"/>
      <c r="I62" s="67"/>
      <c r="J62" s="67"/>
      <c r="K62" s="67"/>
      <c r="L62" s="67"/>
      <c r="M62" s="67"/>
      <c r="N62" s="67"/>
      <c r="O62" s="16" t="s">
        <v>18</v>
      </c>
      <c r="P62" s="67"/>
      <c r="Q62" s="67"/>
    </row>
    <row r="63" spans="1:17" s="68" customFormat="1" ht="13.2" customHeight="1" x14ac:dyDescent="0.25">
      <c r="A63" s="67"/>
      <c r="B63" s="67"/>
      <c r="C63" s="67"/>
      <c r="D63" s="67"/>
      <c r="E63" s="67"/>
      <c r="F63" s="67"/>
      <c r="G63" s="67"/>
      <c r="H63" s="67"/>
      <c r="I63" s="67"/>
      <c r="J63" s="67"/>
      <c r="K63" s="67"/>
      <c r="L63" s="67"/>
      <c r="M63" s="67"/>
      <c r="N63" s="67"/>
      <c r="O63" s="16"/>
      <c r="P63" s="67"/>
      <c r="Q63" s="67"/>
    </row>
    <row r="64" spans="1:17" s="68" customFormat="1" ht="13.2" customHeight="1" x14ac:dyDescent="0.25">
      <c r="A64" s="67"/>
      <c r="B64" s="67"/>
      <c r="C64" s="67"/>
      <c r="D64" s="67"/>
      <c r="E64" s="67"/>
      <c r="F64" s="67"/>
      <c r="G64" s="67"/>
      <c r="H64" s="67"/>
      <c r="I64" s="67"/>
      <c r="J64" s="67"/>
      <c r="K64" s="67"/>
      <c r="L64" s="67"/>
      <c r="M64" s="67"/>
      <c r="N64" s="67"/>
      <c r="O64" s="16"/>
      <c r="P64" s="67"/>
      <c r="Q64" s="67"/>
    </row>
  </sheetData>
  <mergeCells count="17">
    <mergeCell ref="E24:F24"/>
    <mergeCell ref="E25:F25"/>
    <mergeCell ref="E26:F26"/>
    <mergeCell ref="B36:G38"/>
    <mergeCell ref="C28:F31"/>
    <mergeCell ref="A1:P5"/>
    <mergeCell ref="E10:F10"/>
    <mergeCell ref="M10:N10"/>
    <mergeCell ref="J10:K10"/>
    <mergeCell ref="E23:F23"/>
    <mergeCell ref="E13:F13"/>
    <mergeCell ref="E14:F14"/>
    <mergeCell ref="I7:O8"/>
    <mergeCell ref="B7:G8"/>
    <mergeCell ref="B20:G21"/>
    <mergeCell ref="E16:F16"/>
    <mergeCell ref="E15:F15"/>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"Special Program in Sports (SPS)"</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7C5B-0DC9-49DB-A05E-A62E90235438}">
  <sheetPr>
    <tabColor theme="8"/>
  </sheetPr>
  <dimension ref="A1:AF120"/>
  <sheetViews>
    <sheetView showGridLines="0" workbookViewId="0">
      <pane ySplit="16" topLeftCell="A29" activePane="bottomLeft" state="frozen"/>
      <selection pane="bottomLeft" activeCell="U18" sqref="U18"/>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thickBot="1" x14ac:dyDescent="0.3">
      <c r="AF4" s="130"/>
    </row>
    <row r="5" spans="1:32" ht="15.75" customHeight="1" thickBot="1" x14ac:dyDescent="0.35">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thickBot="1" x14ac:dyDescent="0.3">
      <c r="A10" s="131"/>
      <c r="B10" s="229" t="s">
        <v>20</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thickBot="1" x14ac:dyDescent="0.3">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thickBot="1" x14ac:dyDescent="0.3">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thickBot="1" x14ac:dyDescent="0.3">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thickBot="1" x14ac:dyDescent="0.3">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thickBot="1" x14ac:dyDescent="0.3">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25"/>
      <c r="AC15" s="225"/>
      <c r="AD15" s="225"/>
      <c r="AE15" s="131"/>
      <c r="AF15" s="133"/>
    </row>
    <row r="16" spans="1:32" ht="14.4" customHeight="1" thickBot="1" x14ac:dyDescent="0.3">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thickBot="1" x14ac:dyDescent="0.3">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47" t="str">
        <f>IF('INPUT DATA'!K60="","",'INPUT DATA'!K60)</f>
        <v/>
      </c>
      <c r="D67" s="246"/>
      <c r="E67" s="246"/>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56" t="str">
        <f>IF('INPUT DATA'!N60="","",'INPUT DATA'!N60)</f>
        <v/>
      </c>
      <c r="D118" s="257"/>
      <c r="E118" s="257"/>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xBmPii90XCWwbbmeOXBxnDly03YdZ05N01QeWMd7Jox1SVjw8yxeFRZ3TwjH8kxKgQWmwkoD3BO9n01dGur5Dg==" saltValue="YwFC4Tljj0J72ELtdeYiEA=="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0">
    <dataValidation type="custom" allowBlank="1" showInputMessage="1" showErrorMessage="1" errorTitle="Invalid Entry" error="The score cannot be greater than the HPS." promptTitle="Score Entry" prompt="Enter learners' raw scores." sqref="V69:V118" xr:uid="{4BACDB7D-83A9-41BD-B6B3-B049C6FF1844}">
      <formula1>V69&lt;=$V$15</formula1>
    </dataValidation>
    <dataValidation type="custom" allowBlank="1" showInputMessage="1" showErrorMessage="1" errorTitle="Invalid Entry" error="The score cannot be greater than the HPS." promptTitle="Score Entry" prompt="Enter learners' raw scores." sqref="U69:U118" xr:uid="{7E8D9724-1975-4F57-AD3C-454AC2E4A1D6}">
      <formula1>U69&lt;=$U$15</formula1>
    </dataValidation>
    <dataValidation type="custom" allowBlank="1" showInputMessage="1" showErrorMessage="1" errorTitle="Invalid Entry" error="The score cannot be greater than the HPS." promptTitle="Score Entry" prompt="Enter learners' raw scores." sqref="T69:T118" xr:uid="{6A1EB393-E524-4605-AB9F-35BE0DBC721E}">
      <formula1>U69&lt;=$U$15</formula1>
    </dataValidation>
    <dataValidation type="custom" allowBlank="1" showInputMessage="1" showErrorMessage="1" errorTitle="Invalid Entry" error="The score cannot be greater than the HPS." promptTitle="Score Entry" prompt="Enter learners' raw scores." sqref="G69:G118" xr:uid="{D7E42489-55CC-4F3D-ACE7-13302E54F4F5}">
      <formula1>G69&lt;=$G$15</formula1>
    </dataValidation>
    <dataValidation type="whole" allowBlank="1" showInputMessage="1" showErrorMessage="1" promptTitle="Highest Possible Score" prompt="Enter HPS." sqref="T15:V15 F15:J15 N15:P15" xr:uid="{C82D3CF7-BA6F-4C95-88DD-801C082F9891}">
      <formula1>0</formula1>
      <formula2>1000</formula2>
    </dataValidation>
    <dataValidation allowBlank="1" showInputMessage="1" showErrorMessage="1" prompt="Transmuted Term Grade" sqref="AC18:AC67 AC69:AC118" xr:uid="{62516117-AF45-4485-9CA8-7558E53CDCF5}"/>
    <dataValidation allowBlank="1" showInputMessage="1" showErrorMessage="1" prompt="INITIAL GRADE" sqref="AB18:AB67 AB69:AB118" xr:uid="{0EBB2C8B-AE53-4C97-8AEB-91C078C0C36A}"/>
    <dataValidation allowBlank="1" showInputMessage="1" showErrorMessage="1" prompt="Examinations' Weighted Score" sqref="AA15 AA18:AA67 AA69:AA118" xr:uid="{9C4FF824-DA3A-49EA-8125-B34302ACCD99}"/>
    <dataValidation allowBlank="1" showInputMessage="1" showErrorMessage="1" prompt="Examinations' Percetage Score" sqref="Z15 Z18:Z67 Z69:Z118" xr:uid="{2623E1EA-E552-4D50-911F-159FAB34565D}"/>
    <dataValidation allowBlank="1" showInputMessage="1" showErrorMessage="1" prompt="Weighted Score for Term Exam" sqref="Y15 Y18:Y67 Y69:Y118" xr:uid="{F0E5AFE0-9BCC-4166-B66E-910CC5DAC98A}"/>
    <dataValidation allowBlank="1" showInputMessage="1" showErrorMessage="1" prompt="Weighted Score for Summative Test 2" sqref="X15 X18:X67 X69:X118" xr:uid="{DFE80F77-ECC4-4103-99D0-6DB67BB0499E}"/>
    <dataValidation allowBlank="1" showInputMessage="1" showErrorMessage="1" prompt="Weighted Score for Summative Test 1" sqref="W15 W18:W67 W69:W118" xr:uid="{A5B0EEBF-341D-42CA-978A-1CA6BC0C5928}"/>
    <dataValidation allowBlank="1" showInputMessage="1" showErrorMessage="1" prompt="Products/Performance Tasks' Weighted Score." sqref="S15 S18:S67 S69:S118" xr:uid="{0162D0B9-16A9-40A8-9660-4F6B6300CFEF}"/>
    <dataValidation allowBlank="1" showInputMessage="1" showErrorMessage="1" prompt="Products/Performance Tasks' Percentage Score." sqref="R15 R18:R67 R69:R118" xr:uid="{093CC408-AF33-47A2-B48C-EFBCC5F7D67E}"/>
    <dataValidation allowBlank="1" showInputMessage="1" showErrorMessage="1" prompt="Written/Oral Works' Weighted Score." sqref="M15 M18:M67 M69:M118" xr:uid="{5089BCA2-A0B0-43DA-BDA0-A3F851EB8864}"/>
    <dataValidation allowBlank="1" showInputMessage="1" showErrorMessage="1" prompt="Written/Oral Works' Percentage Score." sqref="L15 L18:L67 L69:L118" xr:uid="{90D8DAC3-6699-4F6B-9C54-56336243E9DD}"/>
    <dataValidation allowBlank="1" showInputMessage="1" showErrorMessage="1" prompt="Products/Performance Tasks' Highest Possible Score." sqref="Q15 Q18:Q67 Q69:Q118" xr:uid="{87EBC89D-0699-46DD-9A60-41AA312F9709}"/>
    <dataValidation allowBlank="1" showInputMessage="1" showErrorMessage="1" prompt="Written/Oral Works' Highest Possible Score." sqref="K15 K18:K67 K69:K118" xr:uid="{F0704BB2-C7C6-44B7-BEAC-157319177931}"/>
    <dataValidation allowBlank="1" showInputMessage="1" showErrorMessage="1" prompt="Do not type name of learners here. Go to INPUT DATA sheet." sqref="C18:E67 C69:E118" xr:uid="{DDF535BA-16DA-4CF0-A7C3-52D83C590325}"/>
    <dataValidation type="custom" allowBlank="1" showInputMessage="1" showErrorMessage="1" errorTitle="Invalid Entry" error="The score cannot be greater than the HPS." promptTitle="Score Entry" prompt="Enter learners' raw scores." sqref="V18:V67" xr:uid="{672EBEF8-C5E3-4DCA-833F-03730BB67115}">
      <formula1>$V$18&lt;=$V$15</formula1>
    </dataValidation>
    <dataValidation type="custom" allowBlank="1" showInputMessage="1" showErrorMessage="1" errorTitle="Invalid Entry" error="The score cannot be greater than the HPS." promptTitle="Score Entry" prompt="Enter learners' raw scores." sqref="T19:T67 T18" xr:uid="{D60D8053-F1AE-4266-94FD-0D36A8AA2915}">
      <formula1>T18&lt;=$T$15</formula1>
    </dataValidation>
    <dataValidation type="custom" allowBlank="1" showInputMessage="1" showErrorMessage="1" errorTitle="Invalid Entry" error="The score cannot be greater than the HPS." promptTitle="Score Entry" prompt="Enter learners' raw scores." sqref="F18:F67 F69:F118" xr:uid="{5BF2EF63-D932-4903-ACA0-43009315C996}">
      <formula1>F18&lt;=$F$15</formula1>
    </dataValidation>
    <dataValidation type="custom" allowBlank="1" showInputMessage="1" showErrorMessage="1" errorTitle="Invalid Entry" error="The score cannot be greater than the HPS" promptTitle="Score Entry" prompt="Enter learners' raw scores." sqref="G18:G67" xr:uid="{45C7FAE7-A13A-460C-A6B2-7C1A2F543934}">
      <formula1>G18&lt;=$G$15</formula1>
    </dataValidation>
    <dataValidation type="custom" allowBlank="1" showInputMessage="1" showErrorMessage="1" errorTitle="Invalid Entry" error="The score cannot be greater than the HPS." promptTitle="Score Entry" prompt="Enter learners' raw scores." sqref="H18:H67 H69:H118" xr:uid="{7E411B5D-F1BD-41B1-B4E6-6655A5FF96E5}">
      <formula1>H18&lt;=$H$15</formula1>
    </dataValidation>
    <dataValidation type="custom" allowBlank="1" showInputMessage="1" showErrorMessage="1" errorTitle="Invalid Entry" error="The score cannot be greater than the HPS." promptTitle="Score Entry" prompt="Enter learners' raw scores." sqref="I18:I67 I69:I118" xr:uid="{BA7589C6-E202-41DC-9C5E-AEAFA1A47CE9}">
      <formula1>I18&lt;=$I$15</formula1>
    </dataValidation>
    <dataValidation type="custom" allowBlank="1" showInputMessage="1" showErrorMessage="1" errorTitle="Invalid Entry" error="The score cannot be greater than the HPS." promptTitle="Score Entry" prompt="Enter learners' raw scores." sqref="J18:J67 J69:J118" xr:uid="{582A47D1-DC68-427E-9670-73E577347347}">
      <formula1>J18&lt;=$J$15</formula1>
    </dataValidation>
    <dataValidation type="custom" allowBlank="1" showInputMessage="1" showErrorMessage="1" errorTitle="Invalid Entry" error="The score cannot be greater than the HPS." promptTitle="Score Entry" prompt="Enter learners' raw scores." sqref="N18:N67 N69:N118" xr:uid="{AECA6F0A-B7D6-4AF3-851A-B976AED38259}">
      <formula1>N18&lt;=$N$15</formula1>
    </dataValidation>
    <dataValidation type="custom" allowBlank="1" showInputMessage="1" showErrorMessage="1" errorTitle="Invalid Entry" error="The score cannot be greater than the HPS." promptTitle="Score Entry" prompt="Enter learners' raw scores." sqref="O18:O67 O69:O118" xr:uid="{C5211269-C2E4-464F-B2FB-E85F7B1F4A27}">
      <formula1>O18&lt;=$O$15</formula1>
    </dataValidation>
    <dataValidation type="custom" allowBlank="1" showInputMessage="1" showErrorMessage="1" errorTitle="Invalid Entry" error="The score cannot be greater than the HPS." promptTitle="Score Entry" prompt="Enter learners' raw scores." sqref="P18:P67 P69:P118" xr:uid="{520505CC-A410-4FB6-B724-76AE1BF28655}">
      <formula1>P18&lt;=$P$15</formula1>
    </dataValidation>
    <dataValidation type="custom" allowBlank="1" showInputMessage="1" showErrorMessage="1" errorTitle="Invalit Input" error="The score cannot be greather than the HPS." promptTitle="Score Entry" prompt="Enter learners' raw scores." sqref="U24 U19:U23 U25:U67 U18" xr:uid="{8834C33C-867C-46CA-9006-EA3A7C5DEE4C}">
      <formula1>U18&lt;=$U$15</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5199-2D15-4D8C-B7DC-9024D919508F}">
  <sheetPr>
    <tabColor rgb="FFFFC000"/>
  </sheetPr>
  <dimension ref="A1:AF120"/>
  <sheetViews>
    <sheetView showGridLines="0" workbookViewId="0">
      <pane ySplit="16" topLeftCell="A50" activePane="bottomLeft" state="frozen"/>
      <selection pane="bottomLeft" activeCell="U53" sqref="U53"/>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thickBot="1" x14ac:dyDescent="0.3">
      <c r="AF4" s="130"/>
    </row>
    <row r="5" spans="1:32" ht="15.75" customHeight="1" thickBot="1" x14ac:dyDescent="0.35">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thickBot="1" x14ac:dyDescent="0.3">
      <c r="A10" s="131"/>
      <c r="B10" s="229" t="s">
        <v>38</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thickBot="1" x14ac:dyDescent="0.3">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thickBot="1" x14ac:dyDescent="0.3">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thickBot="1" x14ac:dyDescent="0.3">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thickBot="1" x14ac:dyDescent="0.3">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thickBot="1" x14ac:dyDescent="0.3">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25"/>
      <c r="AC15" s="225"/>
      <c r="AD15" s="225"/>
      <c r="AE15" s="131"/>
      <c r="AF15" s="133"/>
    </row>
    <row r="16" spans="1:32" ht="14.4" customHeight="1" thickBot="1" x14ac:dyDescent="0.3">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thickBot="1" x14ac:dyDescent="0.3">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47" t="str">
        <f>IF('INPUT DATA'!K60="","",'INPUT DATA'!K60)</f>
        <v/>
      </c>
      <c r="D67" s="246"/>
      <c r="E67" s="246"/>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56" t="str">
        <f>IF('INPUT DATA'!N60="","",'INPUT DATA'!N60)</f>
        <v/>
      </c>
      <c r="D118" s="257"/>
      <c r="E118" s="257"/>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VMFHkiVn54KWawaudPf1BrKV/rhVWwFxjMm7XtgQepFS0cdJCfEeLUTg8Mt6IP21vum3+x/PJZNeFYVb7pK+8Q==" saltValue="0U6UmfWQCXMI88rOqYrV/A==" spinCount="100000" sheet="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9">
    <dataValidation type="custom" allowBlank="1" showInputMessage="1" showErrorMessage="1" errorTitle="Invalid Entry" error="The score cannot be greater than the HPS." promptTitle="Score Entry" prompt="Enter learners' raw scores." sqref="P18:P67 P69:P118" xr:uid="{702A6591-1110-4D66-B6D1-539688CE8D39}">
      <formula1>P18&lt;=$P$15</formula1>
    </dataValidation>
    <dataValidation type="custom" allowBlank="1" showInputMessage="1" showErrorMessage="1" errorTitle="Invalid Entry" error="The score cannot be greater than the HPS." promptTitle="Score Entry" prompt="Enter learners' raw scores." sqref="O18:O67 O69:O118" xr:uid="{0457CC54-6282-4CBC-83D4-1AE4D630B225}">
      <formula1>O18&lt;=$O$15</formula1>
    </dataValidation>
    <dataValidation type="custom" allowBlank="1" showInputMessage="1" showErrorMessage="1" errorTitle="Invalid Entry" error="The score cannot be greater than the HPS." promptTitle="Score Entry" prompt="Enter learners' raw scores." sqref="N18:N67 N69:N118" xr:uid="{1955D06C-D3F3-4D9B-94FE-9F002544183C}">
      <formula1>N18&lt;=$N$15</formula1>
    </dataValidation>
    <dataValidation type="custom" allowBlank="1" showInputMessage="1" showErrorMessage="1" errorTitle="Invalid Entry" error="The score cannot be greater than the HPS." promptTitle="Score Entry" prompt="Enter learners' raw scores." sqref="J18:J67 J69:J118" xr:uid="{03FFB228-F61B-401F-A2C9-FB8C026E7D7B}">
      <formula1>J18&lt;=$J$15</formula1>
    </dataValidation>
    <dataValidation type="custom" allowBlank="1" showInputMessage="1" showErrorMessage="1" errorTitle="Invalid Entry" error="The score cannot be greater than the HPS." promptTitle="Score Entry" prompt="Enter learners' raw scores." sqref="I18:I67 I69:I118" xr:uid="{C75BC2D0-6FBB-4E7F-B83F-49A8BA934471}">
      <formula1>I18&lt;=$I$15</formula1>
    </dataValidation>
    <dataValidation type="custom" allowBlank="1" showInputMessage="1" showErrorMessage="1" errorTitle="Invalid Entry" error="The score cannot be greater than the HPS." promptTitle="Score Entry" prompt="Enter learners' raw scores." sqref="H18:H67 H69:H118" xr:uid="{5E134719-AC02-4E2A-9835-268E7744C7F4}">
      <formula1>H18&lt;=$H$15</formula1>
    </dataValidation>
    <dataValidation type="custom" allowBlank="1" showInputMessage="1" showErrorMessage="1" errorTitle="Invalid Entry" error="The score cannot be greater than the HPS" promptTitle="Score Entry" prompt="Enter learners' raw scores." sqref="G18:G67" xr:uid="{D107E4EB-5FE0-48B7-A55A-1F6DE2FD291B}">
      <formula1>G18&lt;=$G$15</formula1>
    </dataValidation>
    <dataValidation type="custom" allowBlank="1" showInputMessage="1" showErrorMessage="1" errorTitle="Invalid Entry" error="The score cannot be greater than the HPS." promptTitle="Score Entry" prompt="Enter learners' raw scores." sqref="F18:F67 F69:F118" xr:uid="{91AA5E6A-0175-441A-BCB2-9C8077E555B5}">
      <formula1>F18&lt;=$F$15</formula1>
    </dataValidation>
    <dataValidation type="custom" allowBlank="1" showInputMessage="1" showErrorMessage="1" errorTitle="Invalid Entry" error="The score cannot be greater than the HPS." promptTitle="Score Entry" prompt="Enter learners' raw scores." sqref="U18:U67 U69:U118" xr:uid="{6FEEF962-1057-4A17-92EA-1423098A2F5D}">
      <formula1>U18&lt;=$U$15</formula1>
    </dataValidation>
    <dataValidation type="custom" allowBlank="1" showInputMessage="1" showErrorMessage="1" errorTitle="Invalid Entry" error="The score cannot be greater than the HPS." promptTitle="Score Entry" prompt="Enter learners' raw scores." sqref="T18:T67" xr:uid="{7F476D13-F383-4E34-A8F8-07545EC1B617}">
      <formula1>T18&lt;=$T$15</formula1>
    </dataValidation>
    <dataValidation type="custom" allowBlank="1" showInputMessage="1" showErrorMessage="1" errorTitle="Invalid Entry" error="The score cannot be greater than the HPS." promptTitle="Score Entry" prompt="Enter learners' raw scores." sqref="V18:V67" xr:uid="{CE1AC8E8-A89A-4644-8F1B-8BC8AE896BEF}">
      <formula1>$V$18&lt;=$V$15</formula1>
    </dataValidation>
    <dataValidation allowBlank="1" showInputMessage="1" showErrorMessage="1" prompt="Do not type name of learners here. Go to INPUT DATA sheet." sqref="C18:E67 C69:E118" xr:uid="{13345DC1-EBE7-4F77-955A-52DBA626C557}"/>
    <dataValidation allowBlank="1" showInputMessage="1" showErrorMessage="1" prompt="Written/Oral Works' Highest Possible Score." sqref="K15 K18:K67 K69:K118" xr:uid="{0B50DFB1-04E5-497F-9EAB-7C80D1C46917}"/>
    <dataValidation allowBlank="1" showInputMessage="1" showErrorMessage="1" prompt="Products/Performance Tasks' Highest Possible Score." sqref="Q15 Q18:Q67 Q69:Q118" xr:uid="{70704C42-FCD6-46A8-B139-1B959BACBE76}"/>
    <dataValidation allowBlank="1" showInputMessage="1" showErrorMessage="1" prompt="Written/Oral Works' Percentage Score." sqref="L15 L18:L67 L69:L118" xr:uid="{BDB28121-E3BF-4342-BCD5-7D21C6519220}"/>
    <dataValidation allowBlank="1" showInputMessage="1" showErrorMessage="1" prompt="Written/Oral Works' Weighted Score." sqref="M15 M18:M67 M69:M118" xr:uid="{50395352-7388-470B-A026-6CB3F50D9B6C}"/>
    <dataValidation allowBlank="1" showInputMessage="1" showErrorMessage="1" prompt="Products/Performance Tasks' Percentage Score." sqref="R15 R18:R67 R69:R118" xr:uid="{05E86FCE-63B2-4232-9C5C-DE6E07906FA5}"/>
    <dataValidation allowBlank="1" showInputMessage="1" showErrorMessage="1" prompt="Products/Performance Tasks' Weighted Score." sqref="S15 S18:S67 S69:S118" xr:uid="{356CDBBB-3589-41A2-8D87-E874EDA13DE7}"/>
    <dataValidation allowBlank="1" showInputMessage="1" showErrorMessage="1" prompt="Weighted Score for Summative Test 1" sqref="W15 W18:W67 W69:W118" xr:uid="{A1893E84-CB00-4613-AC4E-4C87FAAD4EE0}"/>
    <dataValidation allowBlank="1" showInputMessage="1" showErrorMessage="1" prompt="Weighted Score for Summative Test 2" sqref="X15 X18:X67 X69:X118" xr:uid="{A3F084CF-321E-4247-A94E-5C9FF7002162}"/>
    <dataValidation allowBlank="1" showInputMessage="1" showErrorMessage="1" prompt="Weighted Score for Term Exam" sqref="Y15 Y18:Y67 Y69:Y118" xr:uid="{13F72AFF-2014-4045-98A8-FEF2F9EC571E}"/>
    <dataValidation allowBlank="1" showInputMessage="1" showErrorMessage="1" prompt="Examinations' Percetage Score" sqref="Z15 Z18:Z67 Z69:Z118" xr:uid="{B28B81E8-CA96-4468-919D-CD6752B26EF0}"/>
    <dataValidation allowBlank="1" showInputMessage="1" showErrorMessage="1" prompt="Examinations' Weighted Score" sqref="AA15 AA18:AA67 AA69:AA118" xr:uid="{CD78D91B-3DF9-4D46-9C0E-E894DD7FB53F}"/>
    <dataValidation allowBlank="1" showInputMessage="1" showErrorMessage="1" prompt="INITIAL GRADE" sqref="AB18:AB67 AB69:AB118" xr:uid="{D46354A2-CEE1-428F-A660-62AA634D829B}"/>
    <dataValidation allowBlank="1" showInputMessage="1" showErrorMessage="1" prompt="Transmuted Term Grade" sqref="AC18:AC67 AC69:AC118" xr:uid="{D045C403-D7E8-4BAD-85ED-4EF9BA2A368F}"/>
    <dataValidation type="whole" allowBlank="1" showInputMessage="1" showErrorMessage="1" promptTitle="Highest Possible Score" prompt="Enter HPS." sqref="T15:V15 F15:J15 N15:P15" xr:uid="{95CAB2E1-7B74-4A9D-B90A-DBDE9097BC98}">
      <formula1>0</formula1>
      <formula2>1000</formula2>
    </dataValidation>
    <dataValidation type="custom" allowBlank="1" showInputMessage="1" showErrorMessage="1" errorTitle="Invalid Entry" error="The score cannot be greater than the HPS." promptTitle="Score Entry" prompt="Enter learners' raw scores." sqref="G69:G118" xr:uid="{DE9EAC90-537E-4760-8C4E-68A7D8A086C2}">
      <formula1>G69&lt;=$G$15</formula1>
    </dataValidation>
    <dataValidation type="custom" allowBlank="1" showInputMessage="1" showErrorMessage="1" errorTitle="Invalid Entry" error="The score cannot be greater than the HPS." promptTitle="Score Entry" prompt="Enter learners' raw scores." sqref="T69:T118" xr:uid="{D8EBF017-7DB9-4EC6-ABBE-B74E18A7C36B}">
      <formula1>U69&lt;=$U$15</formula1>
    </dataValidation>
    <dataValidation type="custom" allowBlank="1" showInputMessage="1" showErrorMessage="1" errorTitle="Invalid Entry" error="The score cannot be greater than the HPS." promptTitle="Score Entry" prompt="Enter learners' raw scores." sqref="V69:V118" xr:uid="{107A0AA3-1F1B-4C8A-8A2F-D959ADE219B5}">
      <formula1>V69&lt;=$V$15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F120"/>
  <sheetViews>
    <sheetView showGridLines="0" workbookViewId="0">
      <pane ySplit="16" topLeftCell="A17" activePane="bottomLeft" state="frozen"/>
      <selection pane="bottomLeft" activeCell="U61" sqref="U61"/>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12" t="s">
        <v>19</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F2" s="130"/>
    </row>
    <row r="3" spans="1:32" ht="15.75" customHeight="1" x14ac:dyDescent="0.25">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F3" s="130"/>
    </row>
    <row r="4" spans="1:32" ht="15.75" customHeight="1" x14ac:dyDescent="0.25">
      <c r="AF4" s="130"/>
    </row>
    <row r="5" spans="1:32" ht="15.75" customHeight="1" x14ac:dyDescent="0.3">
      <c r="A5" s="131"/>
      <c r="B5" s="131"/>
      <c r="C5" s="131"/>
      <c r="D5" s="131"/>
      <c r="E5" s="132" t="s">
        <v>3</v>
      </c>
      <c r="F5" s="214" t="str">
        <f>IF('INPUT DATA'!E10="","",'INPUT DATA'!E10)</f>
        <v/>
      </c>
      <c r="G5" s="215"/>
      <c r="H5" s="215"/>
      <c r="I5" s="215"/>
      <c r="J5" s="215"/>
      <c r="K5" s="215"/>
      <c r="L5" s="216"/>
      <c r="M5" s="131"/>
      <c r="N5" s="131"/>
      <c r="O5" s="131"/>
      <c r="P5" s="131"/>
      <c r="Q5" s="132" t="s">
        <v>7</v>
      </c>
      <c r="R5" s="214" t="str">
        <f>IF('INPUT DATA'!E11="","",'INPUT DATA'!E11)</f>
        <v/>
      </c>
      <c r="S5" s="215"/>
      <c r="T5" s="215"/>
      <c r="U5" s="215"/>
      <c r="V5" s="216"/>
      <c r="W5" s="131"/>
      <c r="X5" s="131"/>
      <c r="Y5" s="132" t="s">
        <v>8</v>
      </c>
      <c r="Z5" s="214" t="str">
        <f>IF('INPUT DATA'!E13="","",'INPUT DATA'!E13)</f>
        <v/>
      </c>
      <c r="AA5" s="215"/>
      <c r="AB5" s="216"/>
      <c r="AC5" s="131"/>
      <c r="AD5" s="131"/>
      <c r="AE5" s="131"/>
      <c r="AF5" s="133"/>
    </row>
    <row r="6" spans="1:32" ht="6" customHeight="1" x14ac:dyDescent="0.3">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x14ac:dyDescent="0.3">
      <c r="A7" s="131"/>
      <c r="B7" s="131"/>
      <c r="C7" s="131"/>
      <c r="D7" s="131"/>
      <c r="E7" s="132" t="s">
        <v>9</v>
      </c>
      <c r="F7" s="214" t="str">
        <f>IF('INPUT DATA'!E14="","",'INPUT DATA'!E14)</f>
        <v/>
      </c>
      <c r="G7" s="215"/>
      <c r="H7" s="215"/>
      <c r="I7" s="215"/>
      <c r="J7" s="215"/>
      <c r="K7" s="215"/>
      <c r="L7" s="215"/>
      <c r="M7" s="215"/>
      <c r="N7" s="215"/>
      <c r="O7" s="215"/>
      <c r="P7" s="215"/>
      <c r="Q7" s="215"/>
      <c r="R7" s="215"/>
      <c r="S7" s="215"/>
      <c r="T7" s="215"/>
      <c r="U7" s="215"/>
      <c r="V7" s="216"/>
      <c r="W7" s="131"/>
      <c r="X7" s="131"/>
      <c r="Y7" s="132" t="s">
        <v>10</v>
      </c>
      <c r="Z7" s="214" t="str">
        <f>IF('INPUT DATA'!E15="","",'INPUT DATA'!E15)</f>
        <v/>
      </c>
      <c r="AA7" s="215"/>
      <c r="AB7" s="216"/>
      <c r="AC7" s="131"/>
      <c r="AD7" s="131"/>
      <c r="AE7" s="131"/>
      <c r="AF7" s="133"/>
    </row>
    <row r="8" spans="1:32" ht="13.8" customHeight="1" x14ac:dyDescent="0.25">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x14ac:dyDescent="0.3">
      <c r="A9" s="131"/>
      <c r="B9" s="226"/>
      <c r="C9" s="227"/>
      <c r="D9" s="227"/>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8"/>
      <c r="AE9" s="131"/>
      <c r="AF9" s="136"/>
    </row>
    <row r="10" spans="1:32" ht="14.4" customHeight="1" x14ac:dyDescent="0.25">
      <c r="A10" s="131"/>
      <c r="B10" s="229" t="s">
        <v>39</v>
      </c>
      <c r="C10" s="213"/>
      <c r="D10" s="213"/>
      <c r="E10" s="230"/>
      <c r="F10" s="232" t="s">
        <v>15</v>
      </c>
      <c r="G10" s="221"/>
      <c r="H10" s="221"/>
      <c r="I10" s="222"/>
      <c r="J10" s="233" t="str">
        <f>IF('INPUT DATA'!E25="","",'INPUT DATA'!E25)</f>
        <v/>
      </c>
      <c r="K10" s="234"/>
      <c r="L10" s="234"/>
      <c r="M10" s="235"/>
      <c r="N10" s="236" t="s">
        <v>21</v>
      </c>
      <c r="O10" s="213"/>
      <c r="P10" s="230"/>
      <c r="Q10" s="233" t="str">
        <f>IF('INPUT DATA'!E23="","",'INPUT DATA'!E23)</f>
        <v/>
      </c>
      <c r="R10" s="237"/>
      <c r="S10" s="237"/>
      <c r="T10" s="237"/>
      <c r="U10" s="237"/>
      <c r="V10" s="237"/>
      <c r="W10" s="237"/>
      <c r="X10" s="238"/>
      <c r="Y10" s="240" t="s">
        <v>14</v>
      </c>
      <c r="Z10" s="213"/>
      <c r="AA10" s="233" t="str">
        <f>IF('INPUT DATA'!E24="","",'INPUT DATA'!E24)</f>
        <v/>
      </c>
      <c r="AB10" s="237"/>
      <c r="AC10" s="237"/>
      <c r="AD10" s="238"/>
      <c r="AE10" s="131"/>
      <c r="AF10" s="133"/>
    </row>
    <row r="11" spans="1:32" ht="14.4" customHeight="1" x14ac:dyDescent="0.25">
      <c r="A11" s="131"/>
      <c r="B11" s="231"/>
      <c r="C11" s="213"/>
      <c r="D11" s="213"/>
      <c r="E11" s="230"/>
      <c r="F11" s="241" t="s">
        <v>16</v>
      </c>
      <c r="G11" s="242"/>
      <c r="H11" s="242"/>
      <c r="I11" s="243"/>
      <c r="J11" s="244" t="str">
        <f>IF('INPUT DATA'!E26="","",'INPUT DATA'!E26)</f>
        <v/>
      </c>
      <c r="K11" s="215"/>
      <c r="L11" s="215"/>
      <c r="M11" s="216"/>
      <c r="N11" s="220"/>
      <c r="O11" s="221"/>
      <c r="P11" s="222"/>
      <c r="Q11" s="239"/>
      <c r="R11" s="234"/>
      <c r="S11" s="234"/>
      <c r="T11" s="234"/>
      <c r="U11" s="234"/>
      <c r="V11" s="234"/>
      <c r="W11" s="234"/>
      <c r="X11" s="235"/>
      <c r="Y11" s="220"/>
      <c r="Z11" s="221"/>
      <c r="AA11" s="239"/>
      <c r="AB11" s="234"/>
      <c r="AC11" s="234"/>
      <c r="AD11" s="235"/>
      <c r="AE11" s="131"/>
      <c r="AF11" s="133"/>
    </row>
    <row r="12" spans="1:32" ht="13.2" customHeight="1" x14ac:dyDescent="0.25">
      <c r="A12" s="131"/>
      <c r="B12" s="231"/>
      <c r="C12" s="213"/>
      <c r="D12" s="213"/>
      <c r="E12" s="230"/>
      <c r="F12" s="217" t="s">
        <v>22</v>
      </c>
      <c r="G12" s="218"/>
      <c r="H12" s="218"/>
      <c r="I12" s="218"/>
      <c r="J12" s="218"/>
      <c r="K12" s="218"/>
      <c r="L12" s="218"/>
      <c r="M12" s="219"/>
      <c r="N12" s="223" t="s">
        <v>23</v>
      </c>
      <c r="O12" s="218"/>
      <c r="P12" s="218"/>
      <c r="Q12" s="218"/>
      <c r="R12" s="218"/>
      <c r="S12" s="219"/>
      <c r="T12" s="223" t="s">
        <v>24</v>
      </c>
      <c r="U12" s="218"/>
      <c r="V12" s="218"/>
      <c r="W12" s="218"/>
      <c r="X12" s="218"/>
      <c r="Y12" s="218"/>
      <c r="Z12" s="218"/>
      <c r="AA12" s="219"/>
      <c r="AB12" s="223" t="s">
        <v>25</v>
      </c>
      <c r="AC12" s="223" t="s">
        <v>26</v>
      </c>
      <c r="AD12" s="223" t="s">
        <v>27</v>
      </c>
      <c r="AE12" s="131"/>
      <c r="AF12" s="133"/>
    </row>
    <row r="13" spans="1:32" ht="13.8" customHeight="1" x14ac:dyDescent="0.25">
      <c r="A13" s="131"/>
      <c r="B13" s="231"/>
      <c r="C13" s="213"/>
      <c r="D13" s="213"/>
      <c r="E13" s="230"/>
      <c r="F13" s="220"/>
      <c r="G13" s="221"/>
      <c r="H13" s="221"/>
      <c r="I13" s="221"/>
      <c r="J13" s="221"/>
      <c r="K13" s="221"/>
      <c r="L13" s="221"/>
      <c r="M13" s="222"/>
      <c r="N13" s="220"/>
      <c r="O13" s="221"/>
      <c r="P13" s="221"/>
      <c r="Q13" s="221"/>
      <c r="R13" s="221"/>
      <c r="S13" s="222"/>
      <c r="T13" s="220"/>
      <c r="U13" s="221"/>
      <c r="V13" s="221"/>
      <c r="W13" s="221"/>
      <c r="X13" s="221"/>
      <c r="Y13" s="221"/>
      <c r="Z13" s="221"/>
      <c r="AA13" s="222"/>
      <c r="AB13" s="224"/>
      <c r="AC13" s="224"/>
      <c r="AD13" s="224"/>
      <c r="AE13" s="131"/>
      <c r="AF13" s="133"/>
    </row>
    <row r="14" spans="1:32" ht="13.8" customHeight="1" x14ac:dyDescent="0.25">
      <c r="A14" s="131"/>
      <c r="B14" s="231"/>
      <c r="C14" s="213"/>
      <c r="D14" s="213"/>
      <c r="E14" s="230"/>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24"/>
      <c r="AC14" s="224"/>
      <c r="AD14" s="224"/>
      <c r="AE14" s="131"/>
      <c r="AF14" s="133"/>
    </row>
    <row r="15" spans="1:32" ht="14.4" customHeight="1" x14ac:dyDescent="0.25">
      <c r="A15" s="131"/>
      <c r="B15" s="248" t="s">
        <v>37</v>
      </c>
      <c r="C15" s="242"/>
      <c r="D15" s="242"/>
      <c r="E15" s="243"/>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25"/>
      <c r="AC15" s="225"/>
      <c r="AD15" s="225"/>
      <c r="AE15" s="131"/>
      <c r="AF15" s="133"/>
    </row>
    <row r="16" spans="1:32" ht="14.4" customHeight="1" x14ac:dyDescent="0.25">
      <c r="A16" s="131"/>
      <c r="B16" s="249" t="s">
        <v>2</v>
      </c>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3"/>
      <c r="AE16" s="131"/>
      <c r="AF16" s="133"/>
    </row>
    <row r="17" spans="1:32" ht="14.4" customHeight="1" x14ac:dyDescent="0.25">
      <c r="A17" s="131"/>
      <c r="B17" s="250" t="s">
        <v>5</v>
      </c>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1"/>
      <c r="AF17" s="133"/>
    </row>
    <row r="18" spans="1:32" ht="15" customHeight="1" x14ac:dyDescent="0.25">
      <c r="A18" s="131"/>
      <c r="B18" s="151">
        <v>1</v>
      </c>
      <c r="C18" s="245" t="str">
        <f>IF('INPUT DATA'!K11="","",'INPUT DATA'!K11)</f>
        <v/>
      </c>
      <c r="D18" s="246"/>
      <c r="E18" s="246"/>
      <c r="F18" s="152"/>
      <c r="G18" s="153"/>
      <c r="H18" s="153"/>
      <c r="I18" s="153"/>
      <c r="J18" s="154"/>
      <c r="K18" s="70" t="str">
        <f t="shared" ref="K18:K49" si="0">IF(COUNT($F18:$J18)=0,"",SUM($F18:$J18))</f>
        <v/>
      </c>
      <c r="L18" s="71" t="str">
        <f t="shared" ref="L18:L49" si="1">IF(COUNT(F18:J18)=0,"",IFERROR(K18/$K$15*$L$15,""))</f>
        <v/>
      </c>
      <c r="M18" s="72" t="str">
        <f t="shared" ref="M18:M49" si="2">IF(L18="","",L18*$M$15)</f>
        <v/>
      </c>
      <c r="N18" s="152"/>
      <c r="O18" s="153"/>
      <c r="P18" s="154"/>
      <c r="Q18" s="75" t="str">
        <f t="shared" ref="Q18:Q49" si="3">IF(COUNT(N18:P18)=0,"",SUM(N18:P18))</f>
        <v/>
      </c>
      <c r="R18" s="71" t="str">
        <f t="shared" ref="R18:R49" si="4">IF(COUNT(N18:P18)=0,"",IFERROR(Q18/$Q$15*$R$15,""))</f>
        <v/>
      </c>
      <c r="S18" s="72" t="str">
        <f t="shared" ref="S18:S49" si="5">IF(R18="","",R18*$S$15)</f>
        <v/>
      </c>
      <c r="T18" s="152"/>
      <c r="U18" s="153"/>
      <c r="V18" s="154"/>
      <c r="W18" s="76" t="str">
        <f t="shared" ref="W18:W49" si="6">IF(T18="","",IFERROR(T18/$T$15*$W$15,""))</f>
        <v/>
      </c>
      <c r="X18" s="77" t="str">
        <f t="shared" ref="X18:X49" si="7">IF(U18="","",IFERROR(U18/$U$15*$X$15,""))</f>
        <v/>
      </c>
      <c r="Y18" s="78" t="str">
        <f t="shared" ref="Y18:Y49" si="8">IF(V18="","",IFERROR(V18/$V$15*$Y$15,""))</f>
        <v/>
      </c>
      <c r="Z18" s="79" t="str">
        <f t="shared" ref="Z18:Z49" si="9">IF(COUNT(T18:V18)=0,"",SUM(W18:Y18))</f>
        <v/>
      </c>
      <c r="AA18" s="80" t="str">
        <f t="shared" ref="AA18:AA49" si="10">IF(Z18="","",Z18*$AA$15)</f>
        <v/>
      </c>
      <c r="AB18" s="81" t="str">
        <f t="shared" ref="AB18:AB49"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45" t="str">
        <f>IF('INPUT DATA'!K12="","",'INPUT DATA'!K12)</f>
        <v/>
      </c>
      <c r="D19" s="246"/>
      <c r="E19" s="246"/>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45" t="str">
        <f>IF('INPUT DATA'!K13="","",'INPUT DATA'!K13)</f>
        <v/>
      </c>
      <c r="D20" s="246"/>
      <c r="E20" s="246"/>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45" t="str">
        <f>IF('INPUT DATA'!K14="","",'INPUT DATA'!K14)</f>
        <v/>
      </c>
      <c r="D21" s="246"/>
      <c r="E21" s="246"/>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47" t="str">
        <f>IF('INPUT DATA'!K15="","",'INPUT DATA'!K15)</f>
        <v/>
      </c>
      <c r="D22" s="246"/>
      <c r="E22" s="246"/>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47" t="str">
        <f>IF('INPUT DATA'!K16="","",'INPUT DATA'!K16)</f>
        <v/>
      </c>
      <c r="D23" s="246"/>
      <c r="E23" s="246"/>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47" t="str">
        <f>IF('INPUT DATA'!K17="","",'INPUT DATA'!K17)</f>
        <v/>
      </c>
      <c r="D24" s="246"/>
      <c r="E24" s="246"/>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47" t="str">
        <f>IF('INPUT DATA'!K18="","",'INPUT DATA'!K18)</f>
        <v/>
      </c>
      <c r="D25" s="246"/>
      <c r="E25" s="246"/>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47" t="str">
        <f>IF('INPUT DATA'!K19="","",'INPUT DATA'!K19)</f>
        <v/>
      </c>
      <c r="D26" s="246"/>
      <c r="E26" s="246"/>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47" t="str">
        <f>IF('INPUT DATA'!K20="","",'INPUT DATA'!K20)</f>
        <v/>
      </c>
      <c r="D27" s="246"/>
      <c r="E27" s="246"/>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47" t="str">
        <f>IF('INPUT DATA'!K21="","",'INPUT DATA'!K21)</f>
        <v/>
      </c>
      <c r="D28" s="246"/>
      <c r="E28" s="246"/>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47" t="str">
        <f>IF('INPUT DATA'!K22="","",'INPUT DATA'!K22)</f>
        <v/>
      </c>
      <c r="D29" s="246"/>
      <c r="E29" s="246"/>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47" t="str">
        <f>IF('INPUT DATA'!K23="","",'INPUT DATA'!K23)</f>
        <v/>
      </c>
      <c r="D30" s="246"/>
      <c r="E30" s="246"/>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47" t="str">
        <f>IF('INPUT DATA'!K24="","",'INPUT DATA'!K24)</f>
        <v/>
      </c>
      <c r="D31" s="246"/>
      <c r="E31" s="246"/>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47" t="str">
        <f>IF('INPUT DATA'!K25="","",'INPUT DATA'!K25)</f>
        <v/>
      </c>
      <c r="D32" s="246"/>
      <c r="E32" s="246"/>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47" t="str">
        <f>IF('INPUT DATA'!K26="","",'INPUT DATA'!K26)</f>
        <v/>
      </c>
      <c r="D33" s="246"/>
      <c r="E33" s="246"/>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47" t="str">
        <f>IF('INPUT DATA'!K27="","",'INPUT DATA'!K27)</f>
        <v/>
      </c>
      <c r="D34" s="246"/>
      <c r="E34" s="246"/>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47" t="str">
        <f>IF('INPUT DATA'!K28="","",'INPUT DATA'!K28)</f>
        <v/>
      </c>
      <c r="D35" s="246"/>
      <c r="E35" s="246"/>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47" t="str">
        <f>IF('INPUT DATA'!K29="","",'INPUT DATA'!K29)</f>
        <v/>
      </c>
      <c r="D36" s="246"/>
      <c r="E36" s="246"/>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47" t="str">
        <f>IF('INPUT DATA'!K30="","",'INPUT DATA'!K30)</f>
        <v/>
      </c>
      <c r="D37" s="246"/>
      <c r="E37" s="246"/>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47" t="str">
        <f>IF('INPUT DATA'!K31="","",'INPUT DATA'!K31)</f>
        <v/>
      </c>
      <c r="D38" s="246"/>
      <c r="E38" s="246"/>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47" t="str">
        <f>IF('INPUT DATA'!K32="","",'INPUT DATA'!K32)</f>
        <v/>
      </c>
      <c r="D39" s="246"/>
      <c r="E39" s="246"/>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47" t="str">
        <f>IF('INPUT DATA'!K33="","",'INPUT DATA'!K33)</f>
        <v/>
      </c>
      <c r="D40" s="246"/>
      <c r="E40" s="246"/>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47" t="str">
        <f>IF('INPUT DATA'!K34="","",'INPUT DATA'!K34)</f>
        <v/>
      </c>
      <c r="D41" s="246"/>
      <c r="E41" s="246"/>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47" t="str">
        <f>IF('INPUT DATA'!K35="","",'INPUT DATA'!K35)</f>
        <v/>
      </c>
      <c r="D42" s="246"/>
      <c r="E42" s="246"/>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47" t="str">
        <f>IF('INPUT DATA'!K36="","",'INPUT DATA'!K36)</f>
        <v/>
      </c>
      <c r="D43" s="246"/>
      <c r="E43" s="246"/>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47" t="str">
        <f>IF('INPUT DATA'!K37="","",'INPUT DATA'!K37)</f>
        <v/>
      </c>
      <c r="D44" s="246"/>
      <c r="E44" s="246"/>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47" t="str">
        <f>IF('INPUT DATA'!K38="","",'INPUT DATA'!K38)</f>
        <v/>
      </c>
      <c r="D45" s="246"/>
      <c r="E45" s="246"/>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47" t="str">
        <f>IF('INPUT DATA'!K39="","",'INPUT DATA'!K39)</f>
        <v/>
      </c>
      <c r="D46" s="246"/>
      <c r="E46" s="246"/>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47" t="str">
        <f>IF('INPUT DATA'!K40="","",'INPUT DATA'!K40)</f>
        <v/>
      </c>
      <c r="D47" s="246"/>
      <c r="E47" s="246"/>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47" t="str">
        <f>IF('INPUT DATA'!K41="","",'INPUT DATA'!K41)</f>
        <v/>
      </c>
      <c r="D48" s="246"/>
      <c r="E48" s="246"/>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47" t="str">
        <f>IF('INPUT DATA'!K42="","",'INPUT DATA'!K42)</f>
        <v/>
      </c>
      <c r="D49" s="246"/>
      <c r="E49" s="246"/>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47" t="str">
        <f>IF('INPUT DATA'!K43="","",'INPUT DATA'!K43)</f>
        <v/>
      </c>
      <c r="D50" s="246"/>
      <c r="E50" s="246"/>
      <c r="F50" s="156"/>
      <c r="G50" s="157"/>
      <c r="H50" s="157"/>
      <c r="I50" s="157"/>
      <c r="J50" s="158"/>
      <c r="K50" s="70" t="str">
        <f t="shared" ref="K50:K67" si="12">IF(COUNT($F50:$J50)=0,"",SUM($F50:$J50))</f>
        <v/>
      </c>
      <c r="L50" s="73" t="str">
        <f t="shared" ref="L50:L67" si="13">IF(COUNT(F50:J50)=0,"",IFERROR(K50/$K$15*$L$15,""))</f>
        <v/>
      </c>
      <c r="M50" s="74" t="str">
        <f t="shared" ref="M50:M67" si="14">IF(L50="","",L50*$M$15)</f>
        <v/>
      </c>
      <c r="N50" s="156"/>
      <c r="O50" s="157"/>
      <c r="P50" s="158"/>
      <c r="Q50" s="70" t="str">
        <f t="shared" ref="Q50:Q67" si="15">IF(COUNT(N50:P50)=0,"",SUM(N50:P50))</f>
        <v/>
      </c>
      <c r="R50" s="73" t="str">
        <f t="shared" ref="R50:R67" si="16">IF(COUNT(N50:P50)=0,"",IFERROR(Q50/$Q$15*$R$15,""))</f>
        <v/>
      </c>
      <c r="S50" s="74" t="str">
        <f t="shared" ref="S50:S67" si="17">IF(R50="","",R50*$S$15)</f>
        <v/>
      </c>
      <c r="T50" s="156"/>
      <c r="U50" s="157"/>
      <c r="V50" s="158"/>
      <c r="W50" s="70" t="str">
        <f t="shared" ref="W50:W67" si="18">IF(T50="","",IFERROR(T50/$T$15*$W$15,""))</f>
        <v/>
      </c>
      <c r="X50" s="73" t="str">
        <f t="shared" ref="X50:X67" si="19">IF(U50="","",IFERROR(U50/$U$15*$X$15,""))</f>
        <v/>
      </c>
      <c r="Y50" s="74" t="str">
        <f t="shared" ref="Y50:Y67" si="20">IF(V50="","",IFERROR(V50/$V$15*$Y$15,""))</f>
        <v/>
      </c>
      <c r="Z50" s="84" t="str">
        <f t="shared" ref="Z50:Z67" si="21">IF(COUNT(T50:V50)=0,"",SUM(W50:Y50))</f>
        <v/>
      </c>
      <c r="AA50" s="85" t="str">
        <f t="shared" ref="AA50:AA67" si="22">IF(Z50="","",Z50*$AA$15)</f>
        <v/>
      </c>
      <c r="AB50" s="86" t="str">
        <f t="shared" ref="AB50:AB67" si="23">IF(COUNT(F50:J50,N50:P50,T50:V50)=0,"",SUM(M50,S50,AA50))</f>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47" t="str">
        <f>IF('INPUT DATA'!K44="","",'INPUT DATA'!K44)</f>
        <v/>
      </c>
      <c r="D51" s="246"/>
      <c r="E51" s="246"/>
      <c r="F51" s="156"/>
      <c r="G51" s="157"/>
      <c r="H51" s="157"/>
      <c r="I51" s="157"/>
      <c r="J51" s="158"/>
      <c r="K51" s="70" t="str">
        <f t="shared" si="12"/>
        <v/>
      </c>
      <c r="L51" s="73" t="str">
        <f t="shared" si="13"/>
        <v/>
      </c>
      <c r="M51" s="74" t="str">
        <f t="shared" si="14"/>
        <v/>
      </c>
      <c r="N51" s="156"/>
      <c r="O51" s="157"/>
      <c r="P51" s="158"/>
      <c r="Q51" s="70" t="str">
        <f t="shared" si="15"/>
        <v/>
      </c>
      <c r="R51" s="73" t="str">
        <f t="shared" si="16"/>
        <v/>
      </c>
      <c r="S51" s="74" t="str">
        <f t="shared" si="17"/>
        <v/>
      </c>
      <c r="T51" s="156"/>
      <c r="U51" s="157"/>
      <c r="V51" s="158"/>
      <c r="W51" s="70" t="str">
        <f t="shared" si="18"/>
        <v/>
      </c>
      <c r="X51" s="73" t="str">
        <f t="shared" si="19"/>
        <v/>
      </c>
      <c r="Y51" s="74" t="str">
        <f t="shared" si="20"/>
        <v/>
      </c>
      <c r="Z51" s="84" t="str">
        <f t="shared" si="21"/>
        <v/>
      </c>
      <c r="AA51" s="85" t="str">
        <f t="shared" si="22"/>
        <v/>
      </c>
      <c r="AB51" s="86" t="str">
        <f t="shared" si="23"/>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47" t="str">
        <f>IF('INPUT DATA'!K45="","",'INPUT DATA'!K45)</f>
        <v/>
      </c>
      <c r="D52" s="246"/>
      <c r="E52" s="246"/>
      <c r="F52" s="156"/>
      <c r="G52" s="157"/>
      <c r="H52" s="157"/>
      <c r="I52" s="157"/>
      <c r="J52" s="158"/>
      <c r="K52" s="70" t="str">
        <f t="shared" si="12"/>
        <v/>
      </c>
      <c r="L52" s="73" t="str">
        <f t="shared" si="13"/>
        <v/>
      </c>
      <c r="M52" s="74" t="str">
        <f t="shared" si="14"/>
        <v/>
      </c>
      <c r="N52" s="156"/>
      <c r="O52" s="157"/>
      <c r="P52" s="158"/>
      <c r="Q52" s="70" t="str">
        <f t="shared" si="15"/>
        <v/>
      </c>
      <c r="R52" s="73" t="str">
        <f t="shared" si="16"/>
        <v/>
      </c>
      <c r="S52" s="74" t="str">
        <f t="shared" si="17"/>
        <v/>
      </c>
      <c r="T52" s="156"/>
      <c r="U52" s="157"/>
      <c r="V52" s="158"/>
      <c r="W52" s="70" t="str">
        <f t="shared" si="18"/>
        <v/>
      </c>
      <c r="X52" s="73" t="str">
        <f t="shared" si="19"/>
        <v/>
      </c>
      <c r="Y52" s="74" t="str">
        <f t="shared" si="20"/>
        <v/>
      </c>
      <c r="Z52" s="84" t="str">
        <f t="shared" si="21"/>
        <v/>
      </c>
      <c r="AA52" s="85" t="str">
        <f t="shared" si="22"/>
        <v/>
      </c>
      <c r="AB52" s="86" t="str">
        <f t="shared" si="23"/>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47" t="str">
        <f>IF('INPUT DATA'!K46="","",'INPUT DATA'!K46)</f>
        <v/>
      </c>
      <c r="D53" s="246"/>
      <c r="E53" s="246"/>
      <c r="F53" s="156"/>
      <c r="G53" s="157"/>
      <c r="H53" s="157"/>
      <c r="I53" s="157"/>
      <c r="J53" s="158"/>
      <c r="K53" s="70" t="str">
        <f t="shared" si="12"/>
        <v/>
      </c>
      <c r="L53" s="73" t="str">
        <f t="shared" si="13"/>
        <v/>
      </c>
      <c r="M53" s="74" t="str">
        <f t="shared" si="14"/>
        <v/>
      </c>
      <c r="N53" s="156"/>
      <c r="O53" s="157"/>
      <c r="P53" s="158"/>
      <c r="Q53" s="70" t="str">
        <f t="shared" si="15"/>
        <v/>
      </c>
      <c r="R53" s="73" t="str">
        <f t="shared" si="16"/>
        <v/>
      </c>
      <c r="S53" s="74" t="str">
        <f t="shared" si="17"/>
        <v/>
      </c>
      <c r="T53" s="156"/>
      <c r="U53" s="157"/>
      <c r="V53" s="158"/>
      <c r="W53" s="70" t="str">
        <f t="shared" si="18"/>
        <v/>
      </c>
      <c r="X53" s="73" t="str">
        <f t="shared" si="19"/>
        <v/>
      </c>
      <c r="Y53" s="74" t="str">
        <f t="shared" si="20"/>
        <v/>
      </c>
      <c r="Z53" s="84" t="str">
        <f t="shared" si="21"/>
        <v/>
      </c>
      <c r="AA53" s="85" t="str">
        <f t="shared" si="22"/>
        <v/>
      </c>
      <c r="AB53" s="86" t="str">
        <f t="shared" si="23"/>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47" t="str">
        <f>IF('INPUT DATA'!K47="","",'INPUT DATA'!K47)</f>
        <v/>
      </c>
      <c r="D54" s="246"/>
      <c r="E54" s="246"/>
      <c r="F54" s="156"/>
      <c r="G54" s="157"/>
      <c r="H54" s="157"/>
      <c r="I54" s="157"/>
      <c r="J54" s="158"/>
      <c r="K54" s="70" t="str">
        <f t="shared" si="12"/>
        <v/>
      </c>
      <c r="L54" s="73" t="str">
        <f t="shared" si="13"/>
        <v/>
      </c>
      <c r="M54" s="74" t="str">
        <f t="shared" si="14"/>
        <v/>
      </c>
      <c r="N54" s="156"/>
      <c r="O54" s="157"/>
      <c r="P54" s="158"/>
      <c r="Q54" s="70" t="str">
        <f t="shared" si="15"/>
        <v/>
      </c>
      <c r="R54" s="73" t="str">
        <f t="shared" si="16"/>
        <v/>
      </c>
      <c r="S54" s="74" t="str">
        <f t="shared" si="17"/>
        <v/>
      </c>
      <c r="T54" s="156"/>
      <c r="U54" s="157"/>
      <c r="V54" s="158"/>
      <c r="W54" s="70" t="str">
        <f t="shared" si="18"/>
        <v/>
      </c>
      <c r="X54" s="73" t="str">
        <f t="shared" si="19"/>
        <v/>
      </c>
      <c r="Y54" s="74" t="str">
        <f t="shared" si="20"/>
        <v/>
      </c>
      <c r="Z54" s="84" t="str">
        <f t="shared" si="21"/>
        <v/>
      </c>
      <c r="AA54" s="85" t="str">
        <f t="shared" si="22"/>
        <v/>
      </c>
      <c r="AB54" s="86" t="str">
        <f t="shared" si="23"/>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47" t="str">
        <f>IF('INPUT DATA'!K48="","",'INPUT DATA'!K48)</f>
        <v/>
      </c>
      <c r="D55" s="246"/>
      <c r="E55" s="246"/>
      <c r="F55" s="156"/>
      <c r="G55" s="157"/>
      <c r="H55" s="157"/>
      <c r="I55" s="157"/>
      <c r="J55" s="158"/>
      <c r="K55" s="70" t="str">
        <f t="shared" si="12"/>
        <v/>
      </c>
      <c r="L55" s="73" t="str">
        <f t="shared" si="13"/>
        <v/>
      </c>
      <c r="M55" s="74" t="str">
        <f t="shared" si="14"/>
        <v/>
      </c>
      <c r="N55" s="156"/>
      <c r="O55" s="157"/>
      <c r="P55" s="158"/>
      <c r="Q55" s="70" t="str">
        <f t="shared" si="15"/>
        <v/>
      </c>
      <c r="R55" s="73" t="str">
        <f t="shared" si="16"/>
        <v/>
      </c>
      <c r="S55" s="74" t="str">
        <f t="shared" si="17"/>
        <v/>
      </c>
      <c r="T55" s="156"/>
      <c r="U55" s="157"/>
      <c r="V55" s="158"/>
      <c r="W55" s="70" t="str">
        <f t="shared" si="18"/>
        <v/>
      </c>
      <c r="X55" s="73" t="str">
        <f t="shared" si="19"/>
        <v/>
      </c>
      <c r="Y55" s="74" t="str">
        <f t="shared" si="20"/>
        <v/>
      </c>
      <c r="Z55" s="84" t="str">
        <f t="shared" si="21"/>
        <v/>
      </c>
      <c r="AA55" s="85" t="str">
        <f t="shared" si="22"/>
        <v/>
      </c>
      <c r="AB55" s="86" t="str">
        <f t="shared" si="23"/>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47" t="str">
        <f>IF('INPUT DATA'!K49="","",'INPUT DATA'!K49)</f>
        <v/>
      </c>
      <c r="D56" s="246"/>
      <c r="E56" s="246"/>
      <c r="F56" s="156"/>
      <c r="G56" s="157"/>
      <c r="H56" s="157"/>
      <c r="I56" s="157"/>
      <c r="J56" s="158"/>
      <c r="K56" s="70" t="str">
        <f t="shared" si="12"/>
        <v/>
      </c>
      <c r="L56" s="73" t="str">
        <f t="shared" si="13"/>
        <v/>
      </c>
      <c r="M56" s="74" t="str">
        <f t="shared" si="14"/>
        <v/>
      </c>
      <c r="N56" s="156"/>
      <c r="O56" s="157"/>
      <c r="P56" s="158"/>
      <c r="Q56" s="70" t="str">
        <f t="shared" si="15"/>
        <v/>
      </c>
      <c r="R56" s="73" t="str">
        <f t="shared" si="16"/>
        <v/>
      </c>
      <c r="S56" s="74" t="str">
        <f t="shared" si="17"/>
        <v/>
      </c>
      <c r="T56" s="156"/>
      <c r="U56" s="157"/>
      <c r="V56" s="158"/>
      <c r="W56" s="70" t="str">
        <f t="shared" si="18"/>
        <v/>
      </c>
      <c r="X56" s="73" t="str">
        <f t="shared" si="19"/>
        <v/>
      </c>
      <c r="Y56" s="74" t="str">
        <f t="shared" si="20"/>
        <v/>
      </c>
      <c r="Z56" s="84" t="str">
        <f t="shared" si="21"/>
        <v/>
      </c>
      <c r="AA56" s="85" t="str">
        <f t="shared" si="22"/>
        <v/>
      </c>
      <c r="AB56" s="86" t="str">
        <f t="shared" si="23"/>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47" t="str">
        <f>IF('INPUT DATA'!K50="","",'INPUT DATA'!K50)</f>
        <v/>
      </c>
      <c r="D57" s="246"/>
      <c r="E57" s="246"/>
      <c r="F57" s="156"/>
      <c r="G57" s="157"/>
      <c r="H57" s="157"/>
      <c r="I57" s="157"/>
      <c r="J57" s="158"/>
      <c r="K57" s="70" t="str">
        <f t="shared" si="12"/>
        <v/>
      </c>
      <c r="L57" s="73" t="str">
        <f t="shared" si="13"/>
        <v/>
      </c>
      <c r="M57" s="74" t="str">
        <f t="shared" si="14"/>
        <v/>
      </c>
      <c r="N57" s="156"/>
      <c r="O57" s="157"/>
      <c r="P57" s="158"/>
      <c r="Q57" s="70" t="str">
        <f t="shared" si="15"/>
        <v/>
      </c>
      <c r="R57" s="73" t="str">
        <f t="shared" si="16"/>
        <v/>
      </c>
      <c r="S57" s="74" t="str">
        <f t="shared" si="17"/>
        <v/>
      </c>
      <c r="T57" s="156"/>
      <c r="U57" s="157"/>
      <c r="V57" s="158"/>
      <c r="W57" s="70" t="str">
        <f t="shared" si="18"/>
        <v/>
      </c>
      <c r="X57" s="73" t="str">
        <f t="shared" si="19"/>
        <v/>
      </c>
      <c r="Y57" s="74" t="str">
        <f t="shared" si="20"/>
        <v/>
      </c>
      <c r="Z57" s="84" t="str">
        <f t="shared" si="21"/>
        <v/>
      </c>
      <c r="AA57" s="85" t="str">
        <f t="shared" si="22"/>
        <v/>
      </c>
      <c r="AB57" s="86" t="str">
        <f t="shared" si="23"/>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47" t="str">
        <f>IF('INPUT DATA'!K51="","",'INPUT DATA'!K51)</f>
        <v/>
      </c>
      <c r="D58" s="246"/>
      <c r="E58" s="246"/>
      <c r="F58" s="156"/>
      <c r="G58" s="157"/>
      <c r="H58" s="157"/>
      <c r="I58" s="157"/>
      <c r="J58" s="158"/>
      <c r="K58" s="70" t="str">
        <f t="shared" si="12"/>
        <v/>
      </c>
      <c r="L58" s="73" t="str">
        <f t="shared" si="13"/>
        <v/>
      </c>
      <c r="M58" s="74" t="str">
        <f t="shared" si="14"/>
        <v/>
      </c>
      <c r="N58" s="156"/>
      <c r="O58" s="157"/>
      <c r="P58" s="158"/>
      <c r="Q58" s="70" t="str">
        <f t="shared" si="15"/>
        <v/>
      </c>
      <c r="R58" s="73" t="str">
        <f t="shared" si="16"/>
        <v/>
      </c>
      <c r="S58" s="74" t="str">
        <f t="shared" si="17"/>
        <v/>
      </c>
      <c r="T58" s="156"/>
      <c r="U58" s="157"/>
      <c r="V58" s="158"/>
      <c r="W58" s="70" t="str">
        <f t="shared" si="18"/>
        <v/>
      </c>
      <c r="X58" s="73" t="str">
        <f t="shared" si="19"/>
        <v/>
      </c>
      <c r="Y58" s="74" t="str">
        <f t="shared" si="20"/>
        <v/>
      </c>
      <c r="Z58" s="84" t="str">
        <f t="shared" si="21"/>
        <v/>
      </c>
      <c r="AA58" s="85" t="str">
        <f t="shared" si="22"/>
        <v/>
      </c>
      <c r="AB58" s="86" t="str">
        <f t="shared" si="23"/>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47" t="str">
        <f>IF('INPUT DATA'!K52="","",'INPUT DATA'!K52)</f>
        <v/>
      </c>
      <c r="D59" s="246"/>
      <c r="E59" s="246"/>
      <c r="F59" s="156"/>
      <c r="G59" s="157"/>
      <c r="H59" s="157"/>
      <c r="I59" s="157"/>
      <c r="J59" s="158"/>
      <c r="K59" s="70" t="str">
        <f t="shared" si="12"/>
        <v/>
      </c>
      <c r="L59" s="73" t="str">
        <f t="shared" si="13"/>
        <v/>
      </c>
      <c r="M59" s="74" t="str">
        <f t="shared" si="14"/>
        <v/>
      </c>
      <c r="N59" s="156"/>
      <c r="O59" s="157"/>
      <c r="P59" s="158"/>
      <c r="Q59" s="70" t="str">
        <f t="shared" si="15"/>
        <v/>
      </c>
      <c r="R59" s="73" t="str">
        <f t="shared" si="16"/>
        <v/>
      </c>
      <c r="S59" s="74" t="str">
        <f t="shared" si="17"/>
        <v/>
      </c>
      <c r="T59" s="156"/>
      <c r="U59" s="157"/>
      <c r="V59" s="158"/>
      <c r="W59" s="70" t="str">
        <f t="shared" si="18"/>
        <v/>
      </c>
      <c r="X59" s="73" t="str">
        <f t="shared" si="19"/>
        <v/>
      </c>
      <c r="Y59" s="74" t="str">
        <f t="shared" si="20"/>
        <v/>
      </c>
      <c r="Z59" s="84" t="str">
        <f t="shared" si="21"/>
        <v/>
      </c>
      <c r="AA59" s="85" t="str">
        <f t="shared" si="22"/>
        <v/>
      </c>
      <c r="AB59" s="86" t="str">
        <f t="shared" si="23"/>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47" t="str">
        <f>IF('INPUT DATA'!K53="","",'INPUT DATA'!K53)</f>
        <v/>
      </c>
      <c r="D60" s="246"/>
      <c r="E60" s="246"/>
      <c r="F60" s="156"/>
      <c r="G60" s="157"/>
      <c r="H60" s="157"/>
      <c r="I60" s="157"/>
      <c r="J60" s="158"/>
      <c r="K60" s="70" t="str">
        <f t="shared" si="12"/>
        <v/>
      </c>
      <c r="L60" s="73" t="str">
        <f t="shared" si="13"/>
        <v/>
      </c>
      <c r="M60" s="74" t="str">
        <f t="shared" si="14"/>
        <v/>
      </c>
      <c r="N60" s="156"/>
      <c r="O60" s="157"/>
      <c r="P60" s="158"/>
      <c r="Q60" s="70" t="str">
        <f t="shared" si="15"/>
        <v/>
      </c>
      <c r="R60" s="73" t="str">
        <f t="shared" si="16"/>
        <v/>
      </c>
      <c r="S60" s="74" t="str">
        <f t="shared" si="17"/>
        <v/>
      </c>
      <c r="T60" s="156"/>
      <c r="U60" s="157"/>
      <c r="V60" s="158"/>
      <c r="W60" s="70" t="str">
        <f t="shared" si="18"/>
        <v/>
      </c>
      <c r="X60" s="73" t="str">
        <f t="shared" si="19"/>
        <v/>
      </c>
      <c r="Y60" s="74" t="str">
        <f t="shared" si="20"/>
        <v/>
      </c>
      <c r="Z60" s="84" t="str">
        <f t="shared" si="21"/>
        <v/>
      </c>
      <c r="AA60" s="85" t="str">
        <f t="shared" si="22"/>
        <v/>
      </c>
      <c r="AB60" s="86" t="str">
        <f t="shared" si="23"/>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47" t="str">
        <f>IF('INPUT DATA'!K54="","",'INPUT DATA'!K54)</f>
        <v/>
      </c>
      <c r="D61" s="246"/>
      <c r="E61" s="246"/>
      <c r="F61" s="156"/>
      <c r="G61" s="157"/>
      <c r="H61" s="157"/>
      <c r="I61" s="157"/>
      <c r="J61" s="158"/>
      <c r="K61" s="70" t="str">
        <f t="shared" si="12"/>
        <v/>
      </c>
      <c r="L61" s="73" t="str">
        <f t="shared" si="13"/>
        <v/>
      </c>
      <c r="M61" s="74" t="str">
        <f t="shared" si="14"/>
        <v/>
      </c>
      <c r="N61" s="156"/>
      <c r="O61" s="157"/>
      <c r="P61" s="158"/>
      <c r="Q61" s="70" t="str">
        <f t="shared" si="15"/>
        <v/>
      </c>
      <c r="R61" s="73" t="str">
        <f t="shared" si="16"/>
        <v/>
      </c>
      <c r="S61" s="74" t="str">
        <f t="shared" si="17"/>
        <v/>
      </c>
      <c r="T61" s="156"/>
      <c r="U61" s="157"/>
      <c r="V61" s="158"/>
      <c r="W61" s="70" t="str">
        <f t="shared" si="18"/>
        <v/>
      </c>
      <c r="X61" s="73" t="str">
        <f t="shared" si="19"/>
        <v/>
      </c>
      <c r="Y61" s="74" t="str">
        <f t="shared" si="20"/>
        <v/>
      </c>
      <c r="Z61" s="84" t="str">
        <f t="shared" si="21"/>
        <v/>
      </c>
      <c r="AA61" s="85" t="str">
        <f t="shared" si="22"/>
        <v/>
      </c>
      <c r="AB61" s="86" t="str">
        <f t="shared" si="23"/>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47" t="str">
        <f>IF('INPUT DATA'!K55="","",'INPUT DATA'!K55)</f>
        <v/>
      </c>
      <c r="D62" s="246"/>
      <c r="E62" s="246"/>
      <c r="F62" s="156"/>
      <c r="G62" s="157"/>
      <c r="H62" s="157"/>
      <c r="I62" s="157"/>
      <c r="J62" s="158"/>
      <c r="K62" s="70" t="str">
        <f t="shared" si="12"/>
        <v/>
      </c>
      <c r="L62" s="73" t="str">
        <f t="shared" si="13"/>
        <v/>
      </c>
      <c r="M62" s="74" t="str">
        <f t="shared" si="14"/>
        <v/>
      </c>
      <c r="N62" s="156"/>
      <c r="O62" s="157"/>
      <c r="P62" s="158"/>
      <c r="Q62" s="70" t="str">
        <f t="shared" si="15"/>
        <v/>
      </c>
      <c r="R62" s="73" t="str">
        <f t="shared" si="16"/>
        <v/>
      </c>
      <c r="S62" s="74" t="str">
        <f t="shared" si="17"/>
        <v/>
      </c>
      <c r="T62" s="156"/>
      <c r="U62" s="157"/>
      <c r="V62" s="158"/>
      <c r="W62" s="70" t="str">
        <f t="shared" si="18"/>
        <v/>
      </c>
      <c r="X62" s="73" t="str">
        <f t="shared" si="19"/>
        <v/>
      </c>
      <c r="Y62" s="74" t="str">
        <f t="shared" si="20"/>
        <v/>
      </c>
      <c r="Z62" s="84" t="str">
        <f t="shared" si="21"/>
        <v/>
      </c>
      <c r="AA62" s="85" t="str">
        <f t="shared" si="22"/>
        <v/>
      </c>
      <c r="AB62" s="86" t="str">
        <f t="shared" si="23"/>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47" t="str">
        <f>IF('INPUT DATA'!K56="","",'INPUT DATA'!K56)</f>
        <v/>
      </c>
      <c r="D63" s="246"/>
      <c r="E63" s="246"/>
      <c r="F63" s="156"/>
      <c r="G63" s="157"/>
      <c r="H63" s="157"/>
      <c r="I63" s="157"/>
      <c r="J63" s="158"/>
      <c r="K63" s="70" t="str">
        <f t="shared" si="12"/>
        <v/>
      </c>
      <c r="L63" s="73" t="str">
        <f t="shared" si="13"/>
        <v/>
      </c>
      <c r="M63" s="74" t="str">
        <f t="shared" si="14"/>
        <v/>
      </c>
      <c r="N63" s="156"/>
      <c r="O63" s="157"/>
      <c r="P63" s="158"/>
      <c r="Q63" s="70" t="str">
        <f t="shared" si="15"/>
        <v/>
      </c>
      <c r="R63" s="73" t="str">
        <f t="shared" si="16"/>
        <v/>
      </c>
      <c r="S63" s="74" t="str">
        <f t="shared" si="17"/>
        <v/>
      </c>
      <c r="T63" s="156"/>
      <c r="U63" s="157"/>
      <c r="V63" s="158"/>
      <c r="W63" s="70" t="str">
        <f t="shared" si="18"/>
        <v/>
      </c>
      <c r="X63" s="73" t="str">
        <f t="shared" si="19"/>
        <v/>
      </c>
      <c r="Y63" s="74" t="str">
        <f t="shared" si="20"/>
        <v/>
      </c>
      <c r="Z63" s="84" t="str">
        <f t="shared" si="21"/>
        <v/>
      </c>
      <c r="AA63" s="85" t="str">
        <f t="shared" si="22"/>
        <v/>
      </c>
      <c r="AB63" s="86" t="str">
        <f t="shared" si="23"/>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47" t="str">
        <f>IF('INPUT DATA'!K57="","",'INPUT DATA'!K57)</f>
        <v/>
      </c>
      <c r="D64" s="246"/>
      <c r="E64" s="246"/>
      <c r="F64" s="156"/>
      <c r="G64" s="157"/>
      <c r="H64" s="157"/>
      <c r="I64" s="157"/>
      <c r="J64" s="158"/>
      <c r="K64" s="70" t="str">
        <f t="shared" si="12"/>
        <v/>
      </c>
      <c r="L64" s="73" t="str">
        <f t="shared" si="13"/>
        <v/>
      </c>
      <c r="M64" s="74" t="str">
        <f t="shared" si="14"/>
        <v/>
      </c>
      <c r="N64" s="156"/>
      <c r="O64" s="157"/>
      <c r="P64" s="158"/>
      <c r="Q64" s="70" t="str">
        <f t="shared" si="15"/>
        <v/>
      </c>
      <c r="R64" s="73" t="str">
        <f t="shared" si="16"/>
        <v/>
      </c>
      <c r="S64" s="74" t="str">
        <f t="shared" si="17"/>
        <v/>
      </c>
      <c r="T64" s="156"/>
      <c r="U64" s="157"/>
      <c r="V64" s="158"/>
      <c r="W64" s="70" t="str">
        <f t="shared" si="18"/>
        <v/>
      </c>
      <c r="X64" s="73" t="str">
        <f t="shared" si="19"/>
        <v/>
      </c>
      <c r="Y64" s="74" t="str">
        <f t="shared" si="20"/>
        <v/>
      </c>
      <c r="Z64" s="84" t="str">
        <f t="shared" si="21"/>
        <v/>
      </c>
      <c r="AA64" s="85" t="str">
        <f t="shared" si="22"/>
        <v/>
      </c>
      <c r="AB64" s="86" t="str">
        <f t="shared" si="23"/>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47" t="str">
        <f>IF('INPUT DATA'!K58="","",'INPUT DATA'!K58)</f>
        <v/>
      </c>
      <c r="D65" s="246"/>
      <c r="E65" s="246"/>
      <c r="F65" s="156"/>
      <c r="G65" s="157"/>
      <c r="H65" s="157"/>
      <c r="I65" s="157"/>
      <c r="J65" s="158"/>
      <c r="K65" s="70" t="str">
        <f t="shared" si="12"/>
        <v/>
      </c>
      <c r="L65" s="73" t="str">
        <f t="shared" si="13"/>
        <v/>
      </c>
      <c r="M65" s="74" t="str">
        <f t="shared" si="14"/>
        <v/>
      </c>
      <c r="N65" s="156"/>
      <c r="O65" s="157"/>
      <c r="P65" s="158"/>
      <c r="Q65" s="70" t="str">
        <f t="shared" si="15"/>
        <v/>
      </c>
      <c r="R65" s="73" t="str">
        <f t="shared" si="16"/>
        <v/>
      </c>
      <c r="S65" s="74" t="str">
        <f t="shared" si="17"/>
        <v/>
      </c>
      <c r="T65" s="156"/>
      <c r="U65" s="157"/>
      <c r="V65" s="158"/>
      <c r="W65" s="70" t="str">
        <f t="shared" si="18"/>
        <v/>
      </c>
      <c r="X65" s="73" t="str">
        <f t="shared" si="19"/>
        <v/>
      </c>
      <c r="Y65" s="74" t="str">
        <f t="shared" si="20"/>
        <v/>
      </c>
      <c r="Z65" s="84" t="str">
        <f t="shared" si="21"/>
        <v/>
      </c>
      <c r="AA65" s="85" t="str">
        <f t="shared" si="22"/>
        <v/>
      </c>
      <c r="AB65" s="86" t="str">
        <f t="shared" si="23"/>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47" t="str">
        <f>IF('INPUT DATA'!K59="","",'INPUT DATA'!K59)</f>
        <v/>
      </c>
      <c r="D66" s="246"/>
      <c r="E66" s="246"/>
      <c r="F66" s="156"/>
      <c r="G66" s="157"/>
      <c r="H66" s="157"/>
      <c r="I66" s="157"/>
      <c r="J66" s="158"/>
      <c r="K66" s="70" t="str">
        <f t="shared" si="12"/>
        <v/>
      </c>
      <c r="L66" s="73" t="str">
        <f t="shared" si="13"/>
        <v/>
      </c>
      <c r="M66" s="74" t="str">
        <f t="shared" si="14"/>
        <v/>
      </c>
      <c r="N66" s="156"/>
      <c r="O66" s="157"/>
      <c r="P66" s="158"/>
      <c r="Q66" s="70" t="str">
        <f t="shared" si="15"/>
        <v/>
      </c>
      <c r="R66" s="73" t="str">
        <f t="shared" si="16"/>
        <v/>
      </c>
      <c r="S66" s="74" t="str">
        <f t="shared" si="17"/>
        <v/>
      </c>
      <c r="T66" s="156"/>
      <c r="U66" s="157"/>
      <c r="V66" s="158"/>
      <c r="W66" s="70" t="str">
        <f t="shared" si="18"/>
        <v/>
      </c>
      <c r="X66" s="73" t="str">
        <f t="shared" si="19"/>
        <v/>
      </c>
      <c r="Y66" s="74" t="str">
        <f t="shared" si="20"/>
        <v/>
      </c>
      <c r="Z66" s="84" t="str">
        <f t="shared" si="21"/>
        <v/>
      </c>
      <c r="AA66" s="85" t="str">
        <f t="shared" si="22"/>
        <v/>
      </c>
      <c r="AB66" s="86" t="str">
        <f t="shared" si="23"/>
        <v/>
      </c>
      <c r="AC66" s="82" t="str">
        <f>IF(AB66="","",IFERROR(INDEX(HELPER!$D$8:$D$48,IFERROR(MATCH(AB66,HELPER!$B$8:$B$48,0),MATCH(AB66,HELPER!$B$8:$B$48,-1)+1)),""))</f>
        <v/>
      </c>
      <c r="AD66" s="87" t="str">
        <f>IF(AC66="","",IFERROR(INDEX(HELPER!$G$8:$G$48,MATCH(AC66,HELPER!$F$8:$F$48,-1)),""))</f>
        <v/>
      </c>
      <c r="AE66" s="131"/>
      <c r="AF66" s="133"/>
    </row>
    <row r="67" spans="1:32" ht="15" customHeight="1" x14ac:dyDescent="0.25">
      <c r="A67" s="131"/>
      <c r="B67" s="159">
        <v>50</v>
      </c>
      <c r="C67" s="247" t="str">
        <f>IF('INPUT DATA'!K60="","",'INPUT DATA'!K60)</f>
        <v/>
      </c>
      <c r="D67" s="246"/>
      <c r="E67" s="246"/>
      <c r="F67" s="160"/>
      <c r="G67" s="161"/>
      <c r="H67" s="161"/>
      <c r="I67" s="161"/>
      <c r="J67" s="162"/>
      <c r="K67" s="70" t="str">
        <f t="shared" si="12"/>
        <v/>
      </c>
      <c r="L67" s="73" t="str">
        <f t="shared" si="13"/>
        <v/>
      </c>
      <c r="M67" s="74" t="str">
        <f t="shared" si="14"/>
        <v/>
      </c>
      <c r="N67" s="160"/>
      <c r="O67" s="161"/>
      <c r="P67" s="162"/>
      <c r="Q67" s="70" t="str">
        <f t="shared" si="15"/>
        <v/>
      </c>
      <c r="R67" s="73" t="str">
        <f t="shared" si="16"/>
        <v/>
      </c>
      <c r="S67" s="74" t="str">
        <f t="shared" si="17"/>
        <v/>
      </c>
      <c r="T67" s="160"/>
      <c r="U67" s="161"/>
      <c r="V67" s="162"/>
      <c r="W67" s="70" t="str">
        <f t="shared" si="18"/>
        <v/>
      </c>
      <c r="X67" s="73" t="str">
        <f t="shared" si="19"/>
        <v/>
      </c>
      <c r="Y67" s="74" t="str">
        <f t="shared" si="20"/>
        <v/>
      </c>
      <c r="Z67" s="84" t="str">
        <f t="shared" si="21"/>
        <v/>
      </c>
      <c r="AA67" s="85" t="str">
        <f t="shared" si="22"/>
        <v/>
      </c>
      <c r="AB67" s="86" t="str">
        <f t="shared" si="23"/>
        <v/>
      </c>
      <c r="AC67" s="82" t="str">
        <f>IF(AB67="","",IFERROR(INDEX(HELPER!$D$8:$D$48,IFERROR(MATCH(AB67,HELPER!$B$8:$B$48,0),MATCH(AB67,HELPER!$B$8:$B$48,-1)+1)),""))</f>
        <v/>
      </c>
      <c r="AD67" s="87" t="str">
        <f>IF(AC67="","",IFERROR(INDEX(HELPER!$G$8:$G$48,MATCH(AC67,HELPER!$F$8:$F$48,-1)),""))</f>
        <v/>
      </c>
      <c r="AE67" s="131"/>
      <c r="AF67" s="133"/>
    </row>
    <row r="68" spans="1:32" ht="14.4" customHeight="1" x14ac:dyDescent="0.25">
      <c r="A68" s="131"/>
      <c r="B68" s="255" t="s">
        <v>6</v>
      </c>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9"/>
      <c r="AE68" s="131"/>
      <c r="AF68" s="133"/>
    </row>
    <row r="69" spans="1:32" ht="15" customHeight="1" x14ac:dyDescent="0.25">
      <c r="A69" s="131"/>
      <c r="B69" s="163">
        <v>1</v>
      </c>
      <c r="C69" s="251" t="str">
        <f>IF('INPUT DATA'!N11="","",'INPUT DATA'!N11)</f>
        <v/>
      </c>
      <c r="D69" s="252"/>
      <c r="E69" s="252"/>
      <c r="F69" s="152"/>
      <c r="G69" s="153"/>
      <c r="H69" s="153"/>
      <c r="I69" s="153"/>
      <c r="J69" s="154"/>
      <c r="K69" s="88" t="str">
        <f t="shared" ref="K69:K100" si="24">IF(COUNT($F69:$J69)=0,"",SUM($F69:$J69))</f>
        <v/>
      </c>
      <c r="L69" s="89" t="str">
        <f t="shared" ref="L69:L100" si="25">IF(COUNT(F69:J69)=0,"",IFERROR(K69/$K$15*$L$15,""))</f>
        <v/>
      </c>
      <c r="M69" s="90" t="str">
        <f t="shared" ref="M69:M100" si="26">IF(L69="","",L69*$M$15)</f>
        <v/>
      </c>
      <c r="N69" s="152"/>
      <c r="O69" s="153"/>
      <c r="P69" s="154"/>
      <c r="Q69" s="88" t="str">
        <f t="shared" ref="Q69:Q100" si="27">IF(COUNT(N69:P69)=0,"",SUM(N69:P69))</f>
        <v/>
      </c>
      <c r="R69" s="89" t="str">
        <f t="shared" ref="R69:R100" si="28">IF(COUNT(N69:P69)=0,"",IFERROR(Q69/$Q$15*$R$15,""))</f>
        <v/>
      </c>
      <c r="S69" s="90" t="str">
        <f t="shared" ref="S69:S100" si="29">IF(R69="","",R69*$S$15)</f>
        <v/>
      </c>
      <c r="T69" s="152"/>
      <c r="U69" s="153"/>
      <c r="V69" s="154"/>
      <c r="W69" s="88" t="str">
        <f t="shared" ref="W69:W100" si="30">IF(T69="","",IFERROR(T69/$T$15*$W$15,""))</f>
        <v/>
      </c>
      <c r="X69" s="89" t="str">
        <f t="shared" ref="X69:X100" si="31">IF(U69="","",IFERROR(U69/$U$15*$X$15,""))</f>
        <v/>
      </c>
      <c r="Y69" s="90" t="str">
        <f t="shared" ref="Y69:Y100" si="32">IF(V69="","",IFERROR(V69/$V$15*$Y$15,""))</f>
        <v/>
      </c>
      <c r="Z69" s="94" t="str">
        <f t="shared" ref="Z69:Z100" si="33">IF(COUNT(T69:V69)=0,"",SUM(W69:Y69))</f>
        <v/>
      </c>
      <c r="AA69" s="95" t="str">
        <f t="shared" ref="AA69:AA100" si="34">IF(Z69="","",Z69*$AA$15)</f>
        <v/>
      </c>
      <c r="AB69" s="96" t="str">
        <f t="shared" ref="AB69:AB100" si="35">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53" t="str">
        <f>IF('INPUT DATA'!N12="","",'INPUT DATA'!N12)</f>
        <v/>
      </c>
      <c r="D70" s="254"/>
      <c r="E70" s="254"/>
      <c r="F70" s="156"/>
      <c r="G70" s="157"/>
      <c r="H70" s="157"/>
      <c r="I70" s="157"/>
      <c r="J70" s="158"/>
      <c r="K70" s="70" t="str">
        <f t="shared" si="24"/>
        <v/>
      </c>
      <c r="L70" s="73" t="str">
        <f t="shared" si="25"/>
        <v/>
      </c>
      <c r="M70" s="74" t="str">
        <f t="shared" si="26"/>
        <v/>
      </c>
      <c r="N70" s="156"/>
      <c r="O70" s="157"/>
      <c r="P70" s="158"/>
      <c r="Q70" s="70" t="str">
        <f t="shared" si="27"/>
        <v/>
      </c>
      <c r="R70" s="73" t="str">
        <f t="shared" si="28"/>
        <v/>
      </c>
      <c r="S70" s="74" t="str">
        <f t="shared" si="29"/>
        <v/>
      </c>
      <c r="T70" s="156"/>
      <c r="U70" s="157"/>
      <c r="V70" s="158"/>
      <c r="W70" s="70" t="str">
        <f t="shared" si="30"/>
        <v/>
      </c>
      <c r="X70" s="73" t="str">
        <f t="shared" si="31"/>
        <v/>
      </c>
      <c r="Y70" s="74" t="str">
        <f t="shared" si="32"/>
        <v/>
      </c>
      <c r="Z70" s="84" t="str">
        <f t="shared" si="33"/>
        <v/>
      </c>
      <c r="AA70" s="85" t="str">
        <f t="shared" si="34"/>
        <v/>
      </c>
      <c r="AB70" s="86" t="str">
        <f t="shared" si="35"/>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53" t="str">
        <f>IF('INPUT DATA'!N13="","",'INPUT DATA'!N13)</f>
        <v/>
      </c>
      <c r="D71" s="254"/>
      <c r="E71" s="254"/>
      <c r="F71" s="156"/>
      <c r="G71" s="157"/>
      <c r="H71" s="157"/>
      <c r="I71" s="157"/>
      <c r="J71" s="158"/>
      <c r="K71" s="70" t="str">
        <f t="shared" si="24"/>
        <v/>
      </c>
      <c r="L71" s="73" t="str">
        <f t="shared" si="25"/>
        <v/>
      </c>
      <c r="M71" s="74" t="str">
        <f t="shared" si="26"/>
        <v/>
      </c>
      <c r="N71" s="156"/>
      <c r="O71" s="157"/>
      <c r="P71" s="158"/>
      <c r="Q71" s="70" t="str">
        <f t="shared" si="27"/>
        <v/>
      </c>
      <c r="R71" s="73" t="str">
        <f t="shared" si="28"/>
        <v/>
      </c>
      <c r="S71" s="74" t="str">
        <f t="shared" si="29"/>
        <v/>
      </c>
      <c r="T71" s="156"/>
      <c r="U71" s="157"/>
      <c r="V71" s="158"/>
      <c r="W71" s="70" t="str">
        <f t="shared" si="30"/>
        <v/>
      </c>
      <c r="X71" s="73" t="str">
        <f t="shared" si="31"/>
        <v/>
      </c>
      <c r="Y71" s="74" t="str">
        <f t="shared" si="32"/>
        <v/>
      </c>
      <c r="Z71" s="84" t="str">
        <f t="shared" si="33"/>
        <v/>
      </c>
      <c r="AA71" s="85" t="str">
        <f t="shared" si="34"/>
        <v/>
      </c>
      <c r="AB71" s="86" t="str">
        <f t="shared" si="35"/>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53" t="str">
        <f>IF('INPUT DATA'!N14="","",'INPUT DATA'!N14)</f>
        <v/>
      </c>
      <c r="D72" s="254"/>
      <c r="E72" s="254"/>
      <c r="F72" s="156"/>
      <c r="G72" s="157"/>
      <c r="H72" s="157"/>
      <c r="I72" s="157"/>
      <c r="J72" s="158"/>
      <c r="K72" s="70" t="str">
        <f t="shared" si="24"/>
        <v/>
      </c>
      <c r="L72" s="73" t="str">
        <f t="shared" si="25"/>
        <v/>
      </c>
      <c r="M72" s="74" t="str">
        <f t="shared" si="26"/>
        <v/>
      </c>
      <c r="N72" s="156"/>
      <c r="O72" s="157"/>
      <c r="P72" s="158"/>
      <c r="Q72" s="70" t="str">
        <f t="shared" si="27"/>
        <v/>
      </c>
      <c r="R72" s="73" t="str">
        <f t="shared" si="28"/>
        <v/>
      </c>
      <c r="S72" s="74" t="str">
        <f t="shared" si="29"/>
        <v/>
      </c>
      <c r="T72" s="156"/>
      <c r="U72" s="157"/>
      <c r="V72" s="158"/>
      <c r="W72" s="70" t="str">
        <f t="shared" si="30"/>
        <v/>
      </c>
      <c r="X72" s="73" t="str">
        <f t="shared" si="31"/>
        <v/>
      </c>
      <c r="Y72" s="74" t="str">
        <f t="shared" si="32"/>
        <v/>
      </c>
      <c r="Z72" s="84" t="str">
        <f t="shared" si="33"/>
        <v/>
      </c>
      <c r="AA72" s="85" t="str">
        <f t="shared" si="34"/>
        <v/>
      </c>
      <c r="AB72" s="86" t="str">
        <f t="shared" si="35"/>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53" t="str">
        <f>IF('INPUT DATA'!N15="","",'INPUT DATA'!N15)</f>
        <v/>
      </c>
      <c r="D73" s="254"/>
      <c r="E73" s="254"/>
      <c r="F73" s="156"/>
      <c r="G73" s="157"/>
      <c r="H73" s="157"/>
      <c r="I73" s="157"/>
      <c r="J73" s="158"/>
      <c r="K73" s="70" t="str">
        <f t="shared" si="24"/>
        <v/>
      </c>
      <c r="L73" s="73" t="str">
        <f t="shared" si="25"/>
        <v/>
      </c>
      <c r="M73" s="74" t="str">
        <f t="shared" si="26"/>
        <v/>
      </c>
      <c r="N73" s="156"/>
      <c r="O73" s="157"/>
      <c r="P73" s="158"/>
      <c r="Q73" s="70" t="str">
        <f t="shared" si="27"/>
        <v/>
      </c>
      <c r="R73" s="73" t="str">
        <f t="shared" si="28"/>
        <v/>
      </c>
      <c r="S73" s="74" t="str">
        <f t="shared" si="29"/>
        <v/>
      </c>
      <c r="T73" s="156"/>
      <c r="U73" s="157"/>
      <c r="V73" s="158"/>
      <c r="W73" s="70" t="str">
        <f t="shared" si="30"/>
        <v/>
      </c>
      <c r="X73" s="73" t="str">
        <f t="shared" si="31"/>
        <v/>
      </c>
      <c r="Y73" s="74" t="str">
        <f t="shared" si="32"/>
        <v/>
      </c>
      <c r="Z73" s="84" t="str">
        <f t="shared" si="33"/>
        <v/>
      </c>
      <c r="AA73" s="85" t="str">
        <f t="shared" si="34"/>
        <v/>
      </c>
      <c r="AB73" s="86" t="str">
        <f t="shared" si="35"/>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53" t="str">
        <f>IF('INPUT DATA'!N16="","",'INPUT DATA'!N16)</f>
        <v/>
      </c>
      <c r="D74" s="254"/>
      <c r="E74" s="254"/>
      <c r="F74" s="156"/>
      <c r="G74" s="157"/>
      <c r="H74" s="157"/>
      <c r="I74" s="157"/>
      <c r="J74" s="158"/>
      <c r="K74" s="70" t="str">
        <f t="shared" si="24"/>
        <v/>
      </c>
      <c r="L74" s="73" t="str">
        <f t="shared" si="25"/>
        <v/>
      </c>
      <c r="M74" s="74" t="str">
        <f t="shared" si="26"/>
        <v/>
      </c>
      <c r="N74" s="156"/>
      <c r="O74" s="157"/>
      <c r="P74" s="158"/>
      <c r="Q74" s="70" t="str">
        <f t="shared" si="27"/>
        <v/>
      </c>
      <c r="R74" s="73" t="str">
        <f t="shared" si="28"/>
        <v/>
      </c>
      <c r="S74" s="74" t="str">
        <f t="shared" si="29"/>
        <v/>
      </c>
      <c r="T74" s="156"/>
      <c r="U74" s="157"/>
      <c r="V74" s="158"/>
      <c r="W74" s="70" t="str">
        <f t="shared" si="30"/>
        <v/>
      </c>
      <c r="X74" s="73" t="str">
        <f t="shared" si="31"/>
        <v/>
      </c>
      <c r="Y74" s="74" t="str">
        <f t="shared" si="32"/>
        <v/>
      </c>
      <c r="Z74" s="84" t="str">
        <f t="shared" si="33"/>
        <v/>
      </c>
      <c r="AA74" s="85" t="str">
        <f t="shared" si="34"/>
        <v/>
      </c>
      <c r="AB74" s="86" t="str">
        <f t="shared" si="35"/>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53" t="str">
        <f>IF('INPUT DATA'!N17="","",'INPUT DATA'!N17)</f>
        <v/>
      </c>
      <c r="D75" s="254"/>
      <c r="E75" s="254"/>
      <c r="F75" s="156"/>
      <c r="G75" s="157"/>
      <c r="H75" s="157"/>
      <c r="I75" s="157"/>
      <c r="J75" s="158"/>
      <c r="K75" s="70" t="str">
        <f t="shared" si="24"/>
        <v/>
      </c>
      <c r="L75" s="73" t="str">
        <f t="shared" si="25"/>
        <v/>
      </c>
      <c r="M75" s="74" t="str">
        <f t="shared" si="26"/>
        <v/>
      </c>
      <c r="N75" s="156"/>
      <c r="O75" s="157"/>
      <c r="P75" s="158"/>
      <c r="Q75" s="70" t="str">
        <f t="shared" si="27"/>
        <v/>
      </c>
      <c r="R75" s="73" t="str">
        <f t="shared" si="28"/>
        <v/>
      </c>
      <c r="S75" s="74" t="str">
        <f t="shared" si="29"/>
        <v/>
      </c>
      <c r="T75" s="156"/>
      <c r="U75" s="157"/>
      <c r="V75" s="158"/>
      <c r="W75" s="70" t="str">
        <f t="shared" si="30"/>
        <v/>
      </c>
      <c r="X75" s="73" t="str">
        <f t="shared" si="31"/>
        <v/>
      </c>
      <c r="Y75" s="74" t="str">
        <f t="shared" si="32"/>
        <v/>
      </c>
      <c r="Z75" s="84" t="str">
        <f t="shared" si="33"/>
        <v/>
      </c>
      <c r="AA75" s="85" t="str">
        <f t="shared" si="34"/>
        <v/>
      </c>
      <c r="AB75" s="86" t="str">
        <f t="shared" si="35"/>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53" t="str">
        <f>IF('INPUT DATA'!N18="","",'INPUT DATA'!N18)</f>
        <v/>
      </c>
      <c r="D76" s="254"/>
      <c r="E76" s="254"/>
      <c r="F76" s="156"/>
      <c r="G76" s="157"/>
      <c r="H76" s="157"/>
      <c r="I76" s="157"/>
      <c r="J76" s="158"/>
      <c r="K76" s="70" t="str">
        <f t="shared" si="24"/>
        <v/>
      </c>
      <c r="L76" s="73" t="str">
        <f t="shared" si="25"/>
        <v/>
      </c>
      <c r="M76" s="74" t="str">
        <f t="shared" si="26"/>
        <v/>
      </c>
      <c r="N76" s="156"/>
      <c r="O76" s="157"/>
      <c r="P76" s="158"/>
      <c r="Q76" s="70" t="str">
        <f t="shared" si="27"/>
        <v/>
      </c>
      <c r="R76" s="73" t="str">
        <f t="shared" si="28"/>
        <v/>
      </c>
      <c r="S76" s="74" t="str">
        <f t="shared" si="29"/>
        <v/>
      </c>
      <c r="T76" s="156"/>
      <c r="U76" s="157"/>
      <c r="V76" s="158"/>
      <c r="W76" s="70" t="str">
        <f t="shared" si="30"/>
        <v/>
      </c>
      <c r="X76" s="73" t="str">
        <f t="shared" si="31"/>
        <v/>
      </c>
      <c r="Y76" s="74" t="str">
        <f t="shared" si="32"/>
        <v/>
      </c>
      <c r="Z76" s="84" t="str">
        <f t="shared" si="33"/>
        <v/>
      </c>
      <c r="AA76" s="85" t="str">
        <f t="shared" si="34"/>
        <v/>
      </c>
      <c r="AB76" s="86" t="str">
        <f t="shared" si="35"/>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53" t="str">
        <f>IF('INPUT DATA'!N19="","",'INPUT DATA'!N19)</f>
        <v/>
      </c>
      <c r="D77" s="254"/>
      <c r="E77" s="254"/>
      <c r="F77" s="156"/>
      <c r="G77" s="157"/>
      <c r="H77" s="157"/>
      <c r="I77" s="157"/>
      <c r="J77" s="158"/>
      <c r="K77" s="70" t="str">
        <f t="shared" si="24"/>
        <v/>
      </c>
      <c r="L77" s="73" t="str">
        <f t="shared" si="25"/>
        <v/>
      </c>
      <c r="M77" s="74" t="str">
        <f t="shared" si="26"/>
        <v/>
      </c>
      <c r="N77" s="156"/>
      <c r="O77" s="157"/>
      <c r="P77" s="158"/>
      <c r="Q77" s="70" t="str">
        <f t="shared" si="27"/>
        <v/>
      </c>
      <c r="R77" s="73" t="str">
        <f t="shared" si="28"/>
        <v/>
      </c>
      <c r="S77" s="74" t="str">
        <f t="shared" si="29"/>
        <v/>
      </c>
      <c r="T77" s="156"/>
      <c r="U77" s="157"/>
      <c r="V77" s="158"/>
      <c r="W77" s="70" t="str">
        <f t="shared" si="30"/>
        <v/>
      </c>
      <c r="X77" s="73" t="str">
        <f t="shared" si="31"/>
        <v/>
      </c>
      <c r="Y77" s="74" t="str">
        <f t="shared" si="32"/>
        <v/>
      </c>
      <c r="Z77" s="84" t="str">
        <f t="shared" si="33"/>
        <v/>
      </c>
      <c r="AA77" s="85" t="str">
        <f t="shared" si="34"/>
        <v/>
      </c>
      <c r="AB77" s="86" t="str">
        <f t="shared" si="35"/>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53" t="str">
        <f>IF('INPUT DATA'!N20="","",'INPUT DATA'!N20)</f>
        <v/>
      </c>
      <c r="D78" s="254"/>
      <c r="E78" s="254"/>
      <c r="F78" s="156"/>
      <c r="G78" s="157"/>
      <c r="H78" s="157"/>
      <c r="I78" s="157"/>
      <c r="J78" s="158"/>
      <c r="K78" s="70" t="str">
        <f t="shared" si="24"/>
        <v/>
      </c>
      <c r="L78" s="73" t="str">
        <f t="shared" si="25"/>
        <v/>
      </c>
      <c r="M78" s="74" t="str">
        <f t="shared" si="26"/>
        <v/>
      </c>
      <c r="N78" s="156"/>
      <c r="O78" s="157"/>
      <c r="P78" s="158"/>
      <c r="Q78" s="70" t="str">
        <f t="shared" si="27"/>
        <v/>
      </c>
      <c r="R78" s="73" t="str">
        <f t="shared" si="28"/>
        <v/>
      </c>
      <c r="S78" s="74" t="str">
        <f t="shared" si="29"/>
        <v/>
      </c>
      <c r="T78" s="156"/>
      <c r="U78" s="157"/>
      <c r="V78" s="158"/>
      <c r="W78" s="70" t="str">
        <f t="shared" si="30"/>
        <v/>
      </c>
      <c r="X78" s="73" t="str">
        <f t="shared" si="31"/>
        <v/>
      </c>
      <c r="Y78" s="74" t="str">
        <f t="shared" si="32"/>
        <v/>
      </c>
      <c r="Z78" s="84" t="str">
        <f t="shared" si="33"/>
        <v/>
      </c>
      <c r="AA78" s="85" t="str">
        <f t="shared" si="34"/>
        <v/>
      </c>
      <c r="AB78" s="86" t="str">
        <f t="shared" si="35"/>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53" t="str">
        <f>IF('INPUT DATA'!N21="","",'INPUT DATA'!N21)</f>
        <v/>
      </c>
      <c r="D79" s="254"/>
      <c r="E79" s="254"/>
      <c r="F79" s="156"/>
      <c r="G79" s="157"/>
      <c r="H79" s="157"/>
      <c r="I79" s="157"/>
      <c r="J79" s="158"/>
      <c r="K79" s="70" t="str">
        <f t="shared" si="24"/>
        <v/>
      </c>
      <c r="L79" s="73" t="str">
        <f t="shared" si="25"/>
        <v/>
      </c>
      <c r="M79" s="74" t="str">
        <f t="shared" si="26"/>
        <v/>
      </c>
      <c r="N79" s="156"/>
      <c r="O79" s="157"/>
      <c r="P79" s="158"/>
      <c r="Q79" s="70" t="str">
        <f t="shared" si="27"/>
        <v/>
      </c>
      <c r="R79" s="73" t="str">
        <f t="shared" si="28"/>
        <v/>
      </c>
      <c r="S79" s="74" t="str">
        <f t="shared" si="29"/>
        <v/>
      </c>
      <c r="T79" s="156"/>
      <c r="U79" s="157"/>
      <c r="V79" s="158"/>
      <c r="W79" s="70" t="str">
        <f t="shared" si="30"/>
        <v/>
      </c>
      <c r="X79" s="73" t="str">
        <f t="shared" si="31"/>
        <v/>
      </c>
      <c r="Y79" s="74" t="str">
        <f t="shared" si="32"/>
        <v/>
      </c>
      <c r="Z79" s="84" t="str">
        <f t="shared" si="33"/>
        <v/>
      </c>
      <c r="AA79" s="85" t="str">
        <f t="shared" si="34"/>
        <v/>
      </c>
      <c r="AB79" s="86" t="str">
        <f t="shared" si="35"/>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53" t="str">
        <f>IF('INPUT DATA'!N22="","",'INPUT DATA'!N22)</f>
        <v/>
      </c>
      <c r="D80" s="254"/>
      <c r="E80" s="254"/>
      <c r="F80" s="156"/>
      <c r="G80" s="157"/>
      <c r="H80" s="157"/>
      <c r="I80" s="157"/>
      <c r="J80" s="158"/>
      <c r="K80" s="70" t="str">
        <f t="shared" si="24"/>
        <v/>
      </c>
      <c r="L80" s="73" t="str">
        <f t="shared" si="25"/>
        <v/>
      </c>
      <c r="M80" s="74" t="str">
        <f t="shared" si="26"/>
        <v/>
      </c>
      <c r="N80" s="156"/>
      <c r="O80" s="157"/>
      <c r="P80" s="158"/>
      <c r="Q80" s="70" t="str">
        <f t="shared" si="27"/>
        <v/>
      </c>
      <c r="R80" s="73" t="str">
        <f t="shared" si="28"/>
        <v/>
      </c>
      <c r="S80" s="74" t="str">
        <f t="shared" si="29"/>
        <v/>
      </c>
      <c r="T80" s="156"/>
      <c r="U80" s="157"/>
      <c r="V80" s="158"/>
      <c r="W80" s="70" t="str">
        <f t="shared" si="30"/>
        <v/>
      </c>
      <c r="X80" s="73" t="str">
        <f t="shared" si="31"/>
        <v/>
      </c>
      <c r="Y80" s="74" t="str">
        <f t="shared" si="32"/>
        <v/>
      </c>
      <c r="Z80" s="84" t="str">
        <f t="shared" si="33"/>
        <v/>
      </c>
      <c r="AA80" s="85" t="str">
        <f t="shared" si="34"/>
        <v/>
      </c>
      <c r="AB80" s="86" t="str">
        <f t="shared" si="35"/>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53" t="str">
        <f>IF('INPUT DATA'!N23="","",'INPUT DATA'!N23)</f>
        <v/>
      </c>
      <c r="D81" s="254"/>
      <c r="E81" s="254"/>
      <c r="F81" s="156"/>
      <c r="G81" s="157"/>
      <c r="H81" s="157"/>
      <c r="I81" s="157"/>
      <c r="J81" s="158"/>
      <c r="K81" s="70" t="str">
        <f t="shared" si="24"/>
        <v/>
      </c>
      <c r="L81" s="73" t="str">
        <f t="shared" si="25"/>
        <v/>
      </c>
      <c r="M81" s="74" t="str">
        <f t="shared" si="26"/>
        <v/>
      </c>
      <c r="N81" s="156"/>
      <c r="O81" s="157"/>
      <c r="P81" s="158"/>
      <c r="Q81" s="70" t="str">
        <f t="shared" si="27"/>
        <v/>
      </c>
      <c r="R81" s="73" t="str">
        <f t="shared" si="28"/>
        <v/>
      </c>
      <c r="S81" s="74" t="str">
        <f t="shared" si="29"/>
        <v/>
      </c>
      <c r="T81" s="156"/>
      <c r="U81" s="157"/>
      <c r="V81" s="158"/>
      <c r="W81" s="70" t="str">
        <f t="shared" si="30"/>
        <v/>
      </c>
      <c r="X81" s="73" t="str">
        <f t="shared" si="31"/>
        <v/>
      </c>
      <c r="Y81" s="74" t="str">
        <f t="shared" si="32"/>
        <v/>
      </c>
      <c r="Z81" s="84" t="str">
        <f t="shared" si="33"/>
        <v/>
      </c>
      <c r="AA81" s="85" t="str">
        <f t="shared" si="34"/>
        <v/>
      </c>
      <c r="AB81" s="86" t="str">
        <f t="shared" si="35"/>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53" t="str">
        <f>IF('INPUT DATA'!N24="","",'INPUT DATA'!N24)</f>
        <v/>
      </c>
      <c r="D82" s="254"/>
      <c r="E82" s="254"/>
      <c r="F82" s="156"/>
      <c r="G82" s="157"/>
      <c r="H82" s="157"/>
      <c r="I82" s="157"/>
      <c r="J82" s="158"/>
      <c r="K82" s="70" t="str">
        <f t="shared" si="24"/>
        <v/>
      </c>
      <c r="L82" s="73" t="str">
        <f t="shared" si="25"/>
        <v/>
      </c>
      <c r="M82" s="74" t="str">
        <f t="shared" si="26"/>
        <v/>
      </c>
      <c r="N82" s="156"/>
      <c r="O82" s="157"/>
      <c r="P82" s="158"/>
      <c r="Q82" s="70" t="str">
        <f t="shared" si="27"/>
        <v/>
      </c>
      <c r="R82" s="73" t="str">
        <f t="shared" si="28"/>
        <v/>
      </c>
      <c r="S82" s="74" t="str">
        <f t="shared" si="29"/>
        <v/>
      </c>
      <c r="T82" s="156"/>
      <c r="U82" s="157"/>
      <c r="V82" s="158"/>
      <c r="W82" s="70" t="str">
        <f t="shared" si="30"/>
        <v/>
      </c>
      <c r="X82" s="73" t="str">
        <f t="shared" si="31"/>
        <v/>
      </c>
      <c r="Y82" s="74" t="str">
        <f t="shared" si="32"/>
        <v/>
      </c>
      <c r="Z82" s="84" t="str">
        <f t="shared" si="33"/>
        <v/>
      </c>
      <c r="AA82" s="85" t="str">
        <f t="shared" si="34"/>
        <v/>
      </c>
      <c r="AB82" s="86" t="str">
        <f t="shared" si="35"/>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53" t="str">
        <f>IF('INPUT DATA'!N25="","",'INPUT DATA'!N25)</f>
        <v/>
      </c>
      <c r="D83" s="254"/>
      <c r="E83" s="254"/>
      <c r="F83" s="156"/>
      <c r="G83" s="157"/>
      <c r="H83" s="157"/>
      <c r="I83" s="157"/>
      <c r="J83" s="158"/>
      <c r="K83" s="70" t="str">
        <f t="shared" si="24"/>
        <v/>
      </c>
      <c r="L83" s="73" t="str">
        <f t="shared" si="25"/>
        <v/>
      </c>
      <c r="M83" s="74" t="str">
        <f t="shared" si="26"/>
        <v/>
      </c>
      <c r="N83" s="156"/>
      <c r="O83" s="157"/>
      <c r="P83" s="158"/>
      <c r="Q83" s="70" t="str">
        <f t="shared" si="27"/>
        <v/>
      </c>
      <c r="R83" s="73" t="str">
        <f t="shared" si="28"/>
        <v/>
      </c>
      <c r="S83" s="74" t="str">
        <f t="shared" si="29"/>
        <v/>
      </c>
      <c r="T83" s="156"/>
      <c r="U83" s="157"/>
      <c r="V83" s="158"/>
      <c r="W83" s="70" t="str">
        <f t="shared" si="30"/>
        <v/>
      </c>
      <c r="X83" s="73" t="str">
        <f t="shared" si="31"/>
        <v/>
      </c>
      <c r="Y83" s="74" t="str">
        <f t="shared" si="32"/>
        <v/>
      </c>
      <c r="Z83" s="84" t="str">
        <f t="shared" si="33"/>
        <v/>
      </c>
      <c r="AA83" s="85" t="str">
        <f t="shared" si="34"/>
        <v/>
      </c>
      <c r="AB83" s="86" t="str">
        <f t="shared" si="35"/>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53" t="str">
        <f>IF('INPUT DATA'!N26="","",'INPUT DATA'!N26)</f>
        <v/>
      </c>
      <c r="D84" s="254"/>
      <c r="E84" s="254"/>
      <c r="F84" s="156"/>
      <c r="G84" s="157"/>
      <c r="H84" s="157"/>
      <c r="I84" s="157"/>
      <c r="J84" s="158"/>
      <c r="K84" s="70" t="str">
        <f t="shared" si="24"/>
        <v/>
      </c>
      <c r="L84" s="73" t="str">
        <f t="shared" si="25"/>
        <v/>
      </c>
      <c r="M84" s="74" t="str">
        <f t="shared" si="26"/>
        <v/>
      </c>
      <c r="N84" s="156"/>
      <c r="O84" s="157"/>
      <c r="P84" s="158"/>
      <c r="Q84" s="70" t="str">
        <f t="shared" si="27"/>
        <v/>
      </c>
      <c r="R84" s="73" t="str">
        <f t="shared" si="28"/>
        <v/>
      </c>
      <c r="S84" s="74" t="str">
        <f t="shared" si="29"/>
        <v/>
      </c>
      <c r="T84" s="156"/>
      <c r="U84" s="157"/>
      <c r="V84" s="158"/>
      <c r="W84" s="70" t="str">
        <f t="shared" si="30"/>
        <v/>
      </c>
      <c r="X84" s="73" t="str">
        <f t="shared" si="31"/>
        <v/>
      </c>
      <c r="Y84" s="74" t="str">
        <f t="shared" si="32"/>
        <v/>
      </c>
      <c r="Z84" s="84" t="str">
        <f t="shared" si="33"/>
        <v/>
      </c>
      <c r="AA84" s="85" t="str">
        <f t="shared" si="34"/>
        <v/>
      </c>
      <c r="AB84" s="86" t="str">
        <f t="shared" si="35"/>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53" t="str">
        <f>IF('INPUT DATA'!N27="","",'INPUT DATA'!N27)</f>
        <v/>
      </c>
      <c r="D85" s="254"/>
      <c r="E85" s="254"/>
      <c r="F85" s="156"/>
      <c r="G85" s="157"/>
      <c r="H85" s="157"/>
      <c r="I85" s="157"/>
      <c r="J85" s="158"/>
      <c r="K85" s="70" t="str">
        <f t="shared" si="24"/>
        <v/>
      </c>
      <c r="L85" s="73" t="str">
        <f t="shared" si="25"/>
        <v/>
      </c>
      <c r="M85" s="74" t="str">
        <f t="shared" si="26"/>
        <v/>
      </c>
      <c r="N85" s="156"/>
      <c r="O85" s="157"/>
      <c r="P85" s="158"/>
      <c r="Q85" s="70" t="str">
        <f t="shared" si="27"/>
        <v/>
      </c>
      <c r="R85" s="73" t="str">
        <f t="shared" si="28"/>
        <v/>
      </c>
      <c r="S85" s="74" t="str">
        <f t="shared" si="29"/>
        <v/>
      </c>
      <c r="T85" s="156"/>
      <c r="U85" s="157"/>
      <c r="V85" s="158"/>
      <c r="W85" s="70" t="str">
        <f t="shared" si="30"/>
        <v/>
      </c>
      <c r="X85" s="73" t="str">
        <f t="shared" si="31"/>
        <v/>
      </c>
      <c r="Y85" s="74" t="str">
        <f t="shared" si="32"/>
        <v/>
      </c>
      <c r="Z85" s="84" t="str">
        <f t="shared" si="33"/>
        <v/>
      </c>
      <c r="AA85" s="85" t="str">
        <f t="shared" si="34"/>
        <v/>
      </c>
      <c r="AB85" s="86" t="str">
        <f t="shared" si="35"/>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53" t="str">
        <f>IF('INPUT DATA'!N28="","",'INPUT DATA'!N28)</f>
        <v/>
      </c>
      <c r="D86" s="254"/>
      <c r="E86" s="254"/>
      <c r="F86" s="156"/>
      <c r="G86" s="157"/>
      <c r="H86" s="157"/>
      <c r="I86" s="157"/>
      <c r="J86" s="158"/>
      <c r="K86" s="70" t="str">
        <f t="shared" si="24"/>
        <v/>
      </c>
      <c r="L86" s="73" t="str">
        <f t="shared" si="25"/>
        <v/>
      </c>
      <c r="M86" s="74" t="str">
        <f t="shared" si="26"/>
        <v/>
      </c>
      <c r="N86" s="156"/>
      <c r="O86" s="157"/>
      <c r="P86" s="158"/>
      <c r="Q86" s="70" t="str">
        <f t="shared" si="27"/>
        <v/>
      </c>
      <c r="R86" s="73" t="str">
        <f t="shared" si="28"/>
        <v/>
      </c>
      <c r="S86" s="74" t="str">
        <f t="shared" si="29"/>
        <v/>
      </c>
      <c r="T86" s="156"/>
      <c r="U86" s="157"/>
      <c r="V86" s="158"/>
      <c r="W86" s="70" t="str">
        <f t="shared" si="30"/>
        <v/>
      </c>
      <c r="X86" s="73" t="str">
        <f t="shared" si="31"/>
        <v/>
      </c>
      <c r="Y86" s="74" t="str">
        <f t="shared" si="32"/>
        <v/>
      </c>
      <c r="Z86" s="84" t="str">
        <f t="shared" si="33"/>
        <v/>
      </c>
      <c r="AA86" s="85" t="str">
        <f t="shared" si="34"/>
        <v/>
      </c>
      <c r="AB86" s="86" t="str">
        <f t="shared" si="35"/>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53" t="str">
        <f>IF('INPUT DATA'!N29="","",'INPUT DATA'!N29)</f>
        <v/>
      </c>
      <c r="D87" s="254"/>
      <c r="E87" s="254"/>
      <c r="F87" s="156"/>
      <c r="G87" s="157"/>
      <c r="H87" s="157"/>
      <c r="I87" s="157"/>
      <c r="J87" s="158"/>
      <c r="K87" s="70" t="str">
        <f t="shared" si="24"/>
        <v/>
      </c>
      <c r="L87" s="73" t="str">
        <f t="shared" si="25"/>
        <v/>
      </c>
      <c r="M87" s="74" t="str">
        <f t="shared" si="26"/>
        <v/>
      </c>
      <c r="N87" s="156"/>
      <c r="O87" s="157"/>
      <c r="P87" s="158"/>
      <c r="Q87" s="70" t="str">
        <f t="shared" si="27"/>
        <v/>
      </c>
      <c r="R87" s="73" t="str">
        <f t="shared" si="28"/>
        <v/>
      </c>
      <c r="S87" s="74" t="str">
        <f t="shared" si="29"/>
        <v/>
      </c>
      <c r="T87" s="156"/>
      <c r="U87" s="157"/>
      <c r="V87" s="158"/>
      <c r="W87" s="70" t="str">
        <f t="shared" si="30"/>
        <v/>
      </c>
      <c r="X87" s="73" t="str">
        <f t="shared" si="31"/>
        <v/>
      </c>
      <c r="Y87" s="74" t="str">
        <f t="shared" si="32"/>
        <v/>
      </c>
      <c r="Z87" s="84" t="str">
        <f t="shared" si="33"/>
        <v/>
      </c>
      <c r="AA87" s="85" t="str">
        <f t="shared" si="34"/>
        <v/>
      </c>
      <c r="AB87" s="86" t="str">
        <f t="shared" si="35"/>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53" t="str">
        <f>IF('INPUT DATA'!N30="","",'INPUT DATA'!N30)</f>
        <v/>
      </c>
      <c r="D88" s="254"/>
      <c r="E88" s="254"/>
      <c r="F88" s="156"/>
      <c r="G88" s="157"/>
      <c r="H88" s="157"/>
      <c r="I88" s="157"/>
      <c r="J88" s="158"/>
      <c r="K88" s="70" t="str">
        <f t="shared" si="24"/>
        <v/>
      </c>
      <c r="L88" s="73" t="str">
        <f t="shared" si="25"/>
        <v/>
      </c>
      <c r="M88" s="74" t="str">
        <f t="shared" si="26"/>
        <v/>
      </c>
      <c r="N88" s="156"/>
      <c r="O88" s="157"/>
      <c r="P88" s="158"/>
      <c r="Q88" s="70" t="str">
        <f t="shared" si="27"/>
        <v/>
      </c>
      <c r="R88" s="73" t="str">
        <f t="shared" si="28"/>
        <v/>
      </c>
      <c r="S88" s="74" t="str">
        <f t="shared" si="29"/>
        <v/>
      </c>
      <c r="T88" s="156"/>
      <c r="U88" s="157"/>
      <c r="V88" s="158"/>
      <c r="W88" s="70" t="str">
        <f t="shared" si="30"/>
        <v/>
      </c>
      <c r="X88" s="73" t="str">
        <f t="shared" si="31"/>
        <v/>
      </c>
      <c r="Y88" s="74" t="str">
        <f t="shared" si="32"/>
        <v/>
      </c>
      <c r="Z88" s="84" t="str">
        <f t="shared" si="33"/>
        <v/>
      </c>
      <c r="AA88" s="85" t="str">
        <f t="shared" si="34"/>
        <v/>
      </c>
      <c r="AB88" s="86" t="str">
        <f t="shared" si="35"/>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53" t="str">
        <f>IF('INPUT DATA'!N31="","",'INPUT DATA'!N31)</f>
        <v/>
      </c>
      <c r="D89" s="254"/>
      <c r="E89" s="254"/>
      <c r="F89" s="156"/>
      <c r="G89" s="157"/>
      <c r="H89" s="157"/>
      <c r="I89" s="157"/>
      <c r="J89" s="158"/>
      <c r="K89" s="70" t="str">
        <f t="shared" si="24"/>
        <v/>
      </c>
      <c r="L89" s="73" t="str">
        <f t="shared" si="25"/>
        <v/>
      </c>
      <c r="M89" s="74" t="str">
        <f t="shared" si="26"/>
        <v/>
      </c>
      <c r="N89" s="156"/>
      <c r="O89" s="157"/>
      <c r="P89" s="158"/>
      <c r="Q89" s="70" t="str">
        <f t="shared" si="27"/>
        <v/>
      </c>
      <c r="R89" s="73" t="str">
        <f t="shared" si="28"/>
        <v/>
      </c>
      <c r="S89" s="74" t="str">
        <f t="shared" si="29"/>
        <v/>
      </c>
      <c r="T89" s="156"/>
      <c r="U89" s="157"/>
      <c r="V89" s="158"/>
      <c r="W89" s="70" t="str">
        <f t="shared" si="30"/>
        <v/>
      </c>
      <c r="X89" s="73" t="str">
        <f t="shared" si="31"/>
        <v/>
      </c>
      <c r="Y89" s="74" t="str">
        <f t="shared" si="32"/>
        <v/>
      </c>
      <c r="Z89" s="84" t="str">
        <f t="shared" si="33"/>
        <v/>
      </c>
      <c r="AA89" s="85" t="str">
        <f t="shared" si="34"/>
        <v/>
      </c>
      <c r="AB89" s="86" t="str">
        <f t="shared" si="35"/>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53" t="str">
        <f>IF('INPUT DATA'!N32="","",'INPUT DATA'!N32)</f>
        <v/>
      </c>
      <c r="D90" s="254"/>
      <c r="E90" s="254"/>
      <c r="F90" s="156"/>
      <c r="G90" s="157"/>
      <c r="H90" s="157"/>
      <c r="I90" s="157"/>
      <c r="J90" s="158"/>
      <c r="K90" s="70" t="str">
        <f t="shared" si="24"/>
        <v/>
      </c>
      <c r="L90" s="73" t="str">
        <f t="shared" si="25"/>
        <v/>
      </c>
      <c r="M90" s="74" t="str">
        <f t="shared" si="26"/>
        <v/>
      </c>
      <c r="N90" s="156"/>
      <c r="O90" s="157"/>
      <c r="P90" s="158"/>
      <c r="Q90" s="70" t="str">
        <f t="shared" si="27"/>
        <v/>
      </c>
      <c r="R90" s="73" t="str">
        <f t="shared" si="28"/>
        <v/>
      </c>
      <c r="S90" s="74" t="str">
        <f t="shared" si="29"/>
        <v/>
      </c>
      <c r="T90" s="156"/>
      <c r="U90" s="157"/>
      <c r="V90" s="158"/>
      <c r="W90" s="70" t="str">
        <f t="shared" si="30"/>
        <v/>
      </c>
      <c r="X90" s="73" t="str">
        <f t="shared" si="31"/>
        <v/>
      </c>
      <c r="Y90" s="74" t="str">
        <f t="shared" si="32"/>
        <v/>
      </c>
      <c r="Z90" s="84" t="str">
        <f t="shared" si="33"/>
        <v/>
      </c>
      <c r="AA90" s="85" t="str">
        <f t="shared" si="34"/>
        <v/>
      </c>
      <c r="AB90" s="86" t="str">
        <f t="shared" si="35"/>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53" t="str">
        <f>IF('INPUT DATA'!N33="","",'INPUT DATA'!N33)</f>
        <v/>
      </c>
      <c r="D91" s="254"/>
      <c r="E91" s="254"/>
      <c r="F91" s="156"/>
      <c r="G91" s="157"/>
      <c r="H91" s="157"/>
      <c r="I91" s="157"/>
      <c r="J91" s="158"/>
      <c r="K91" s="70" t="str">
        <f t="shared" si="24"/>
        <v/>
      </c>
      <c r="L91" s="73" t="str">
        <f t="shared" si="25"/>
        <v/>
      </c>
      <c r="M91" s="74" t="str">
        <f t="shared" si="26"/>
        <v/>
      </c>
      <c r="N91" s="156"/>
      <c r="O91" s="157"/>
      <c r="P91" s="158"/>
      <c r="Q91" s="70" t="str">
        <f t="shared" si="27"/>
        <v/>
      </c>
      <c r="R91" s="73" t="str">
        <f t="shared" si="28"/>
        <v/>
      </c>
      <c r="S91" s="74" t="str">
        <f t="shared" si="29"/>
        <v/>
      </c>
      <c r="T91" s="156"/>
      <c r="U91" s="157"/>
      <c r="V91" s="158"/>
      <c r="W91" s="70" t="str">
        <f t="shared" si="30"/>
        <v/>
      </c>
      <c r="X91" s="73" t="str">
        <f t="shared" si="31"/>
        <v/>
      </c>
      <c r="Y91" s="74" t="str">
        <f t="shared" si="32"/>
        <v/>
      </c>
      <c r="Z91" s="84" t="str">
        <f t="shared" si="33"/>
        <v/>
      </c>
      <c r="AA91" s="85" t="str">
        <f t="shared" si="34"/>
        <v/>
      </c>
      <c r="AB91" s="86" t="str">
        <f t="shared" si="35"/>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53" t="str">
        <f>IF('INPUT DATA'!N34="","",'INPUT DATA'!N34)</f>
        <v/>
      </c>
      <c r="D92" s="254"/>
      <c r="E92" s="254"/>
      <c r="F92" s="156"/>
      <c r="G92" s="157"/>
      <c r="H92" s="157"/>
      <c r="I92" s="157"/>
      <c r="J92" s="158"/>
      <c r="K92" s="70" t="str">
        <f t="shared" si="24"/>
        <v/>
      </c>
      <c r="L92" s="73" t="str">
        <f t="shared" si="25"/>
        <v/>
      </c>
      <c r="M92" s="74" t="str">
        <f t="shared" si="26"/>
        <v/>
      </c>
      <c r="N92" s="156"/>
      <c r="O92" s="157"/>
      <c r="P92" s="158"/>
      <c r="Q92" s="70" t="str">
        <f t="shared" si="27"/>
        <v/>
      </c>
      <c r="R92" s="73" t="str">
        <f t="shared" si="28"/>
        <v/>
      </c>
      <c r="S92" s="74" t="str">
        <f t="shared" si="29"/>
        <v/>
      </c>
      <c r="T92" s="156"/>
      <c r="U92" s="157"/>
      <c r="V92" s="158"/>
      <c r="W92" s="70" t="str">
        <f t="shared" si="30"/>
        <v/>
      </c>
      <c r="X92" s="73" t="str">
        <f t="shared" si="31"/>
        <v/>
      </c>
      <c r="Y92" s="74" t="str">
        <f t="shared" si="32"/>
        <v/>
      </c>
      <c r="Z92" s="84" t="str">
        <f t="shared" si="33"/>
        <v/>
      </c>
      <c r="AA92" s="85" t="str">
        <f t="shared" si="34"/>
        <v/>
      </c>
      <c r="AB92" s="86" t="str">
        <f t="shared" si="35"/>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53" t="str">
        <f>IF('INPUT DATA'!N35="","",'INPUT DATA'!N35)</f>
        <v/>
      </c>
      <c r="D93" s="254"/>
      <c r="E93" s="254"/>
      <c r="F93" s="156"/>
      <c r="G93" s="157"/>
      <c r="H93" s="157"/>
      <c r="I93" s="157"/>
      <c r="J93" s="158"/>
      <c r="K93" s="70" t="str">
        <f t="shared" si="24"/>
        <v/>
      </c>
      <c r="L93" s="73" t="str">
        <f t="shared" si="25"/>
        <v/>
      </c>
      <c r="M93" s="74" t="str">
        <f t="shared" si="26"/>
        <v/>
      </c>
      <c r="N93" s="156"/>
      <c r="O93" s="157"/>
      <c r="P93" s="158"/>
      <c r="Q93" s="70" t="str">
        <f t="shared" si="27"/>
        <v/>
      </c>
      <c r="R93" s="73" t="str">
        <f t="shared" si="28"/>
        <v/>
      </c>
      <c r="S93" s="74" t="str">
        <f t="shared" si="29"/>
        <v/>
      </c>
      <c r="T93" s="156"/>
      <c r="U93" s="157"/>
      <c r="V93" s="158"/>
      <c r="W93" s="70" t="str">
        <f t="shared" si="30"/>
        <v/>
      </c>
      <c r="X93" s="73" t="str">
        <f t="shared" si="31"/>
        <v/>
      </c>
      <c r="Y93" s="74" t="str">
        <f t="shared" si="32"/>
        <v/>
      </c>
      <c r="Z93" s="84" t="str">
        <f t="shared" si="33"/>
        <v/>
      </c>
      <c r="AA93" s="85" t="str">
        <f t="shared" si="34"/>
        <v/>
      </c>
      <c r="AB93" s="86" t="str">
        <f t="shared" si="35"/>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53" t="str">
        <f>IF('INPUT DATA'!N36="","",'INPUT DATA'!N36)</f>
        <v/>
      </c>
      <c r="D94" s="254"/>
      <c r="E94" s="254"/>
      <c r="F94" s="156"/>
      <c r="G94" s="157"/>
      <c r="H94" s="157"/>
      <c r="I94" s="157"/>
      <c r="J94" s="158"/>
      <c r="K94" s="70" t="str">
        <f t="shared" si="24"/>
        <v/>
      </c>
      <c r="L94" s="73" t="str">
        <f t="shared" si="25"/>
        <v/>
      </c>
      <c r="M94" s="74" t="str">
        <f t="shared" si="26"/>
        <v/>
      </c>
      <c r="N94" s="156"/>
      <c r="O94" s="157"/>
      <c r="P94" s="158"/>
      <c r="Q94" s="70" t="str">
        <f t="shared" si="27"/>
        <v/>
      </c>
      <c r="R94" s="73" t="str">
        <f t="shared" si="28"/>
        <v/>
      </c>
      <c r="S94" s="74" t="str">
        <f t="shared" si="29"/>
        <v/>
      </c>
      <c r="T94" s="156"/>
      <c r="U94" s="157"/>
      <c r="V94" s="158"/>
      <c r="W94" s="70" t="str">
        <f t="shared" si="30"/>
        <v/>
      </c>
      <c r="X94" s="73" t="str">
        <f t="shared" si="31"/>
        <v/>
      </c>
      <c r="Y94" s="74" t="str">
        <f t="shared" si="32"/>
        <v/>
      </c>
      <c r="Z94" s="84" t="str">
        <f t="shared" si="33"/>
        <v/>
      </c>
      <c r="AA94" s="85" t="str">
        <f t="shared" si="34"/>
        <v/>
      </c>
      <c r="AB94" s="86" t="str">
        <f t="shared" si="35"/>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53" t="str">
        <f>IF('INPUT DATA'!N37="","",'INPUT DATA'!N37)</f>
        <v/>
      </c>
      <c r="D95" s="254"/>
      <c r="E95" s="254"/>
      <c r="F95" s="156"/>
      <c r="G95" s="157"/>
      <c r="H95" s="157"/>
      <c r="I95" s="157"/>
      <c r="J95" s="158"/>
      <c r="K95" s="70" t="str">
        <f t="shared" si="24"/>
        <v/>
      </c>
      <c r="L95" s="73" t="str">
        <f t="shared" si="25"/>
        <v/>
      </c>
      <c r="M95" s="74" t="str">
        <f t="shared" si="26"/>
        <v/>
      </c>
      <c r="N95" s="156"/>
      <c r="O95" s="157"/>
      <c r="P95" s="158"/>
      <c r="Q95" s="70" t="str">
        <f t="shared" si="27"/>
        <v/>
      </c>
      <c r="R95" s="73" t="str">
        <f t="shared" si="28"/>
        <v/>
      </c>
      <c r="S95" s="74" t="str">
        <f t="shared" si="29"/>
        <v/>
      </c>
      <c r="T95" s="156"/>
      <c r="U95" s="157"/>
      <c r="V95" s="158"/>
      <c r="W95" s="70" t="str">
        <f t="shared" si="30"/>
        <v/>
      </c>
      <c r="X95" s="73" t="str">
        <f t="shared" si="31"/>
        <v/>
      </c>
      <c r="Y95" s="74" t="str">
        <f t="shared" si="32"/>
        <v/>
      </c>
      <c r="Z95" s="84" t="str">
        <f t="shared" si="33"/>
        <v/>
      </c>
      <c r="AA95" s="85" t="str">
        <f t="shared" si="34"/>
        <v/>
      </c>
      <c r="AB95" s="86" t="str">
        <f t="shared" si="35"/>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53" t="str">
        <f>IF('INPUT DATA'!N38="","",'INPUT DATA'!N38)</f>
        <v/>
      </c>
      <c r="D96" s="254"/>
      <c r="E96" s="254"/>
      <c r="F96" s="156"/>
      <c r="G96" s="157"/>
      <c r="H96" s="157"/>
      <c r="I96" s="157"/>
      <c r="J96" s="158"/>
      <c r="K96" s="70" t="str">
        <f t="shared" si="24"/>
        <v/>
      </c>
      <c r="L96" s="73" t="str">
        <f t="shared" si="25"/>
        <v/>
      </c>
      <c r="M96" s="74" t="str">
        <f t="shared" si="26"/>
        <v/>
      </c>
      <c r="N96" s="156"/>
      <c r="O96" s="157"/>
      <c r="P96" s="158"/>
      <c r="Q96" s="70" t="str">
        <f t="shared" si="27"/>
        <v/>
      </c>
      <c r="R96" s="73" t="str">
        <f t="shared" si="28"/>
        <v/>
      </c>
      <c r="S96" s="74" t="str">
        <f t="shared" si="29"/>
        <v/>
      </c>
      <c r="T96" s="156"/>
      <c r="U96" s="157"/>
      <c r="V96" s="158"/>
      <c r="W96" s="70" t="str">
        <f t="shared" si="30"/>
        <v/>
      </c>
      <c r="X96" s="73" t="str">
        <f t="shared" si="31"/>
        <v/>
      </c>
      <c r="Y96" s="74" t="str">
        <f t="shared" si="32"/>
        <v/>
      </c>
      <c r="Z96" s="84" t="str">
        <f t="shared" si="33"/>
        <v/>
      </c>
      <c r="AA96" s="85" t="str">
        <f t="shared" si="34"/>
        <v/>
      </c>
      <c r="AB96" s="86" t="str">
        <f t="shared" si="35"/>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53" t="str">
        <f>IF('INPUT DATA'!N39="","",'INPUT DATA'!N39)</f>
        <v/>
      </c>
      <c r="D97" s="254"/>
      <c r="E97" s="254"/>
      <c r="F97" s="156"/>
      <c r="G97" s="157"/>
      <c r="H97" s="157"/>
      <c r="I97" s="157"/>
      <c r="J97" s="158"/>
      <c r="K97" s="70" t="str">
        <f t="shared" si="24"/>
        <v/>
      </c>
      <c r="L97" s="73" t="str">
        <f t="shared" si="25"/>
        <v/>
      </c>
      <c r="M97" s="74" t="str">
        <f t="shared" si="26"/>
        <v/>
      </c>
      <c r="N97" s="156"/>
      <c r="O97" s="157"/>
      <c r="P97" s="158"/>
      <c r="Q97" s="70" t="str">
        <f t="shared" si="27"/>
        <v/>
      </c>
      <c r="R97" s="73" t="str">
        <f t="shared" si="28"/>
        <v/>
      </c>
      <c r="S97" s="74" t="str">
        <f t="shared" si="29"/>
        <v/>
      </c>
      <c r="T97" s="156"/>
      <c r="U97" s="157"/>
      <c r="V97" s="158"/>
      <c r="W97" s="70" t="str">
        <f t="shared" si="30"/>
        <v/>
      </c>
      <c r="X97" s="73" t="str">
        <f t="shared" si="31"/>
        <v/>
      </c>
      <c r="Y97" s="74" t="str">
        <f t="shared" si="32"/>
        <v/>
      </c>
      <c r="Z97" s="84" t="str">
        <f t="shared" si="33"/>
        <v/>
      </c>
      <c r="AA97" s="85" t="str">
        <f t="shared" si="34"/>
        <v/>
      </c>
      <c r="AB97" s="86" t="str">
        <f t="shared" si="35"/>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53" t="str">
        <f>IF('INPUT DATA'!N40="","",'INPUT DATA'!N40)</f>
        <v/>
      </c>
      <c r="D98" s="254"/>
      <c r="E98" s="254"/>
      <c r="F98" s="156"/>
      <c r="G98" s="157"/>
      <c r="H98" s="157"/>
      <c r="I98" s="157"/>
      <c r="J98" s="158"/>
      <c r="K98" s="70" t="str">
        <f t="shared" si="24"/>
        <v/>
      </c>
      <c r="L98" s="73" t="str">
        <f t="shared" si="25"/>
        <v/>
      </c>
      <c r="M98" s="74" t="str">
        <f t="shared" si="26"/>
        <v/>
      </c>
      <c r="N98" s="156"/>
      <c r="O98" s="157"/>
      <c r="P98" s="158"/>
      <c r="Q98" s="70" t="str">
        <f t="shared" si="27"/>
        <v/>
      </c>
      <c r="R98" s="73" t="str">
        <f t="shared" si="28"/>
        <v/>
      </c>
      <c r="S98" s="74" t="str">
        <f t="shared" si="29"/>
        <v/>
      </c>
      <c r="T98" s="156"/>
      <c r="U98" s="157"/>
      <c r="V98" s="158"/>
      <c r="W98" s="70" t="str">
        <f t="shared" si="30"/>
        <v/>
      </c>
      <c r="X98" s="73" t="str">
        <f t="shared" si="31"/>
        <v/>
      </c>
      <c r="Y98" s="74" t="str">
        <f t="shared" si="32"/>
        <v/>
      </c>
      <c r="Z98" s="84" t="str">
        <f t="shared" si="33"/>
        <v/>
      </c>
      <c r="AA98" s="85" t="str">
        <f t="shared" si="34"/>
        <v/>
      </c>
      <c r="AB98" s="86" t="str">
        <f t="shared" si="35"/>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53" t="str">
        <f>IF('INPUT DATA'!N41="","",'INPUT DATA'!N41)</f>
        <v/>
      </c>
      <c r="D99" s="254"/>
      <c r="E99" s="254"/>
      <c r="F99" s="156"/>
      <c r="G99" s="157"/>
      <c r="H99" s="157"/>
      <c r="I99" s="157"/>
      <c r="J99" s="158"/>
      <c r="K99" s="70" t="str">
        <f t="shared" si="24"/>
        <v/>
      </c>
      <c r="L99" s="73" t="str">
        <f t="shared" si="25"/>
        <v/>
      </c>
      <c r="M99" s="74" t="str">
        <f t="shared" si="26"/>
        <v/>
      </c>
      <c r="N99" s="156"/>
      <c r="O99" s="157"/>
      <c r="P99" s="158"/>
      <c r="Q99" s="70" t="str">
        <f t="shared" si="27"/>
        <v/>
      </c>
      <c r="R99" s="73" t="str">
        <f t="shared" si="28"/>
        <v/>
      </c>
      <c r="S99" s="74" t="str">
        <f t="shared" si="29"/>
        <v/>
      </c>
      <c r="T99" s="156"/>
      <c r="U99" s="157"/>
      <c r="V99" s="158"/>
      <c r="W99" s="70" t="str">
        <f t="shared" si="30"/>
        <v/>
      </c>
      <c r="X99" s="73" t="str">
        <f t="shared" si="31"/>
        <v/>
      </c>
      <c r="Y99" s="74" t="str">
        <f t="shared" si="32"/>
        <v/>
      </c>
      <c r="Z99" s="84" t="str">
        <f t="shared" si="33"/>
        <v/>
      </c>
      <c r="AA99" s="85" t="str">
        <f t="shared" si="34"/>
        <v/>
      </c>
      <c r="AB99" s="86" t="str">
        <f t="shared" si="35"/>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53" t="str">
        <f>IF('INPUT DATA'!N42="","",'INPUT DATA'!N42)</f>
        <v/>
      </c>
      <c r="D100" s="254"/>
      <c r="E100" s="254"/>
      <c r="F100" s="156"/>
      <c r="G100" s="157"/>
      <c r="H100" s="157"/>
      <c r="I100" s="157"/>
      <c r="J100" s="158"/>
      <c r="K100" s="70" t="str">
        <f t="shared" si="24"/>
        <v/>
      </c>
      <c r="L100" s="73" t="str">
        <f t="shared" si="25"/>
        <v/>
      </c>
      <c r="M100" s="74" t="str">
        <f t="shared" si="26"/>
        <v/>
      </c>
      <c r="N100" s="156"/>
      <c r="O100" s="157"/>
      <c r="P100" s="158"/>
      <c r="Q100" s="70" t="str">
        <f t="shared" si="27"/>
        <v/>
      </c>
      <c r="R100" s="73" t="str">
        <f t="shared" si="28"/>
        <v/>
      </c>
      <c r="S100" s="74" t="str">
        <f t="shared" si="29"/>
        <v/>
      </c>
      <c r="T100" s="156"/>
      <c r="U100" s="157"/>
      <c r="V100" s="158"/>
      <c r="W100" s="70" t="str">
        <f t="shared" si="30"/>
        <v/>
      </c>
      <c r="X100" s="73" t="str">
        <f t="shared" si="31"/>
        <v/>
      </c>
      <c r="Y100" s="74" t="str">
        <f t="shared" si="32"/>
        <v/>
      </c>
      <c r="Z100" s="84" t="str">
        <f t="shared" si="33"/>
        <v/>
      </c>
      <c r="AA100" s="85" t="str">
        <f t="shared" si="34"/>
        <v/>
      </c>
      <c r="AB100" s="86" t="str">
        <f t="shared" si="35"/>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53" t="str">
        <f>IF('INPUT DATA'!N43="","",'INPUT DATA'!N43)</f>
        <v/>
      </c>
      <c r="D101" s="254"/>
      <c r="E101" s="254"/>
      <c r="F101" s="156"/>
      <c r="G101" s="157"/>
      <c r="H101" s="157"/>
      <c r="I101" s="157"/>
      <c r="J101" s="158"/>
      <c r="K101" s="70" t="str">
        <f t="shared" ref="K101:K118" si="36">IF(COUNT($F101:$J101)=0,"",SUM($F101:$J101))</f>
        <v/>
      </c>
      <c r="L101" s="73" t="str">
        <f t="shared" ref="L101:L118" si="37">IF(COUNT(F101:J101)=0,"",IFERROR(K101/$K$15*$L$15,""))</f>
        <v/>
      </c>
      <c r="M101" s="74" t="str">
        <f t="shared" ref="M101:M118" si="38">IF(L101="","",L101*$M$15)</f>
        <v/>
      </c>
      <c r="N101" s="156"/>
      <c r="O101" s="157"/>
      <c r="P101" s="158"/>
      <c r="Q101" s="70" t="str">
        <f t="shared" ref="Q101:Q118" si="39">IF(COUNT(N101:P101)=0,"",SUM(N101:P101))</f>
        <v/>
      </c>
      <c r="R101" s="73" t="str">
        <f t="shared" ref="R101:R118" si="40">IF(COUNT(N101:P101)=0,"",IFERROR(Q101/$Q$15*$R$15,""))</f>
        <v/>
      </c>
      <c r="S101" s="74" t="str">
        <f t="shared" ref="S101:S118" si="41">IF(R101="","",R101*$S$15)</f>
        <v/>
      </c>
      <c r="T101" s="156"/>
      <c r="U101" s="157"/>
      <c r="V101" s="158"/>
      <c r="W101" s="70" t="str">
        <f t="shared" ref="W101:W118" si="42">IF(T101="","",IFERROR(T101/$T$15*$W$15,""))</f>
        <v/>
      </c>
      <c r="X101" s="73" t="str">
        <f t="shared" ref="X101:X118" si="43">IF(U101="","",IFERROR(U101/$U$15*$X$15,""))</f>
        <v/>
      </c>
      <c r="Y101" s="74" t="str">
        <f t="shared" ref="Y101:Y118" si="44">IF(V101="","",IFERROR(V101/$V$15*$Y$15,""))</f>
        <v/>
      </c>
      <c r="Z101" s="84" t="str">
        <f t="shared" ref="Z101:Z118" si="45">IF(COUNT(T101:V101)=0,"",SUM(W101:Y101))</f>
        <v/>
      </c>
      <c r="AA101" s="85" t="str">
        <f t="shared" ref="AA101:AA118" si="46">IF(Z101="","",Z101*$AA$15)</f>
        <v/>
      </c>
      <c r="AB101" s="86" t="str">
        <f t="shared" ref="AB101:AB118" si="47">IF(COUNT(F101:J101,N101:P101,T101:V101)=0,"",SUM(M101,S101,AA101))</f>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53" t="str">
        <f>IF('INPUT DATA'!N44="","",'INPUT DATA'!N44)</f>
        <v/>
      </c>
      <c r="D102" s="254"/>
      <c r="E102" s="254"/>
      <c r="F102" s="156"/>
      <c r="G102" s="157"/>
      <c r="H102" s="157"/>
      <c r="I102" s="157"/>
      <c r="J102" s="158"/>
      <c r="K102" s="70" t="str">
        <f t="shared" si="36"/>
        <v/>
      </c>
      <c r="L102" s="73" t="str">
        <f t="shared" si="37"/>
        <v/>
      </c>
      <c r="M102" s="74" t="str">
        <f t="shared" si="38"/>
        <v/>
      </c>
      <c r="N102" s="156"/>
      <c r="O102" s="157"/>
      <c r="P102" s="158"/>
      <c r="Q102" s="70" t="str">
        <f t="shared" si="39"/>
        <v/>
      </c>
      <c r="R102" s="73" t="str">
        <f t="shared" si="40"/>
        <v/>
      </c>
      <c r="S102" s="74" t="str">
        <f t="shared" si="41"/>
        <v/>
      </c>
      <c r="T102" s="156"/>
      <c r="U102" s="157"/>
      <c r="V102" s="158"/>
      <c r="W102" s="70" t="str">
        <f t="shared" si="42"/>
        <v/>
      </c>
      <c r="X102" s="73" t="str">
        <f t="shared" si="43"/>
        <v/>
      </c>
      <c r="Y102" s="74" t="str">
        <f t="shared" si="44"/>
        <v/>
      </c>
      <c r="Z102" s="84" t="str">
        <f t="shared" si="45"/>
        <v/>
      </c>
      <c r="AA102" s="85" t="str">
        <f t="shared" si="46"/>
        <v/>
      </c>
      <c r="AB102" s="86" t="str">
        <f t="shared" si="47"/>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53" t="str">
        <f>IF('INPUT DATA'!N45="","",'INPUT DATA'!N45)</f>
        <v/>
      </c>
      <c r="D103" s="254"/>
      <c r="E103" s="254"/>
      <c r="F103" s="156"/>
      <c r="G103" s="157"/>
      <c r="H103" s="157"/>
      <c r="I103" s="157"/>
      <c r="J103" s="158"/>
      <c r="K103" s="70" t="str">
        <f t="shared" si="36"/>
        <v/>
      </c>
      <c r="L103" s="73" t="str">
        <f t="shared" si="37"/>
        <v/>
      </c>
      <c r="M103" s="74" t="str">
        <f t="shared" si="38"/>
        <v/>
      </c>
      <c r="N103" s="156"/>
      <c r="O103" s="157"/>
      <c r="P103" s="158"/>
      <c r="Q103" s="70" t="str">
        <f t="shared" si="39"/>
        <v/>
      </c>
      <c r="R103" s="73" t="str">
        <f t="shared" si="40"/>
        <v/>
      </c>
      <c r="S103" s="74" t="str">
        <f t="shared" si="41"/>
        <v/>
      </c>
      <c r="T103" s="156"/>
      <c r="U103" s="157"/>
      <c r="V103" s="158"/>
      <c r="W103" s="70" t="str">
        <f t="shared" si="42"/>
        <v/>
      </c>
      <c r="X103" s="73" t="str">
        <f t="shared" si="43"/>
        <v/>
      </c>
      <c r="Y103" s="74" t="str">
        <f t="shared" si="44"/>
        <v/>
      </c>
      <c r="Z103" s="84" t="str">
        <f t="shared" si="45"/>
        <v/>
      </c>
      <c r="AA103" s="85" t="str">
        <f t="shared" si="46"/>
        <v/>
      </c>
      <c r="AB103" s="86" t="str">
        <f t="shared" si="47"/>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53" t="str">
        <f>IF('INPUT DATA'!N46="","",'INPUT DATA'!N46)</f>
        <v/>
      </c>
      <c r="D104" s="254"/>
      <c r="E104" s="254"/>
      <c r="F104" s="156"/>
      <c r="G104" s="157"/>
      <c r="H104" s="157"/>
      <c r="I104" s="157"/>
      <c r="J104" s="158"/>
      <c r="K104" s="70" t="str">
        <f t="shared" si="36"/>
        <v/>
      </c>
      <c r="L104" s="73" t="str">
        <f t="shared" si="37"/>
        <v/>
      </c>
      <c r="M104" s="74" t="str">
        <f t="shared" si="38"/>
        <v/>
      </c>
      <c r="N104" s="156"/>
      <c r="O104" s="157"/>
      <c r="P104" s="158"/>
      <c r="Q104" s="70" t="str">
        <f t="shared" si="39"/>
        <v/>
      </c>
      <c r="R104" s="73" t="str">
        <f t="shared" si="40"/>
        <v/>
      </c>
      <c r="S104" s="74" t="str">
        <f t="shared" si="41"/>
        <v/>
      </c>
      <c r="T104" s="156"/>
      <c r="U104" s="157"/>
      <c r="V104" s="158"/>
      <c r="W104" s="70" t="str">
        <f t="shared" si="42"/>
        <v/>
      </c>
      <c r="X104" s="73" t="str">
        <f t="shared" si="43"/>
        <v/>
      </c>
      <c r="Y104" s="74" t="str">
        <f t="shared" si="44"/>
        <v/>
      </c>
      <c r="Z104" s="84" t="str">
        <f t="shared" si="45"/>
        <v/>
      </c>
      <c r="AA104" s="85" t="str">
        <f t="shared" si="46"/>
        <v/>
      </c>
      <c r="AB104" s="86" t="str">
        <f t="shared" si="47"/>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53" t="str">
        <f>IF('INPUT DATA'!N47="","",'INPUT DATA'!N47)</f>
        <v/>
      </c>
      <c r="D105" s="254"/>
      <c r="E105" s="254"/>
      <c r="F105" s="156"/>
      <c r="G105" s="157"/>
      <c r="H105" s="157"/>
      <c r="I105" s="157"/>
      <c r="J105" s="158"/>
      <c r="K105" s="70" t="str">
        <f t="shared" si="36"/>
        <v/>
      </c>
      <c r="L105" s="73" t="str">
        <f t="shared" si="37"/>
        <v/>
      </c>
      <c r="M105" s="74" t="str">
        <f t="shared" si="38"/>
        <v/>
      </c>
      <c r="N105" s="156"/>
      <c r="O105" s="157"/>
      <c r="P105" s="158"/>
      <c r="Q105" s="70" t="str">
        <f t="shared" si="39"/>
        <v/>
      </c>
      <c r="R105" s="73" t="str">
        <f t="shared" si="40"/>
        <v/>
      </c>
      <c r="S105" s="74" t="str">
        <f t="shared" si="41"/>
        <v/>
      </c>
      <c r="T105" s="156"/>
      <c r="U105" s="157"/>
      <c r="V105" s="158"/>
      <c r="W105" s="70" t="str">
        <f t="shared" si="42"/>
        <v/>
      </c>
      <c r="X105" s="73" t="str">
        <f t="shared" si="43"/>
        <v/>
      </c>
      <c r="Y105" s="74" t="str">
        <f t="shared" si="44"/>
        <v/>
      </c>
      <c r="Z105" s="84" t="str">
        <f t="shared" si="45"/>
        <v/>
      </c>
      <c r="AA105" s="85" t="str">
        <f t="shared" si="46"/>
        <v/>
      </c>
      <c r="AB105" s="86" t="str">
        <f t="shared" si="47"/>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53" t="str">
        <f>IF('INPUT DATA'!N48="","",'INPUT DATA'!N48)</f>
        <v/>
      </c>
      <c r="D106" s="254"/>
      <c r="E106" s="254"/>
      <c r="F106" s="156"/>
      <c r="G106" s="157"/>
      <c r="H106" s="157"/>
      <c r="I106" s="157"/>
      <c r="J106" s="158"/>
      <c r="K106" s="70" t="str">
        <f t="shared" si="36"/>
        <v/>
      </c>
      <c r="L106" s="73" t="str">
        <f t="shared" si="37"/>
        <v/>
      </c>
      <c r="M106" s="74" t="str">
        <f t="shared" si="38"/>
        <v/>
      </c>
      <c r="N106" s="156"/>
      <c r="O106" s="157"/>
      <c r="P106" s="158"/>
      <c r="Q106" s="70" t="str">
        <f t="shared" si="39"/>
        <v/>
      </c>
      <c r="R106" s="73" t="str">
        <f t="shared" si="40"/>
        <v/>
      </c>
      <c r="S106" s="74" t="str">
        <f t="shared" si="41"/>
        <v/>
      </c>
      <c r="T106" s="156"/>
      <c r="U106" s="157"/>
      <c r="V106" s="158"/>
      <c r="W106" s="70" t="str">
        <f t="shared" si="42"/>
        <v/>
      </c>
      <c r="X106" s="73" t="str">
        <f t="shared" si="43"/>
        <v/>
      </c>
      <c r="Y106" s="74" t="str">
        <f t="shared" si="44"/>
        <v/>
      </c>
      <c r="Z106" s="84" t="str">
        <f t="shared" si="45"/>
        <v/>
      </c>
      <c r="AA106" s="85" t="str">
        <f t="shared" si="46"/>
        <v/>
      </c>
      <c r="AB106" s="86" t="str">
        <f t="shared" si="47"/>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53" t="str">
        <f>IF('INPUT DATA'!N49="","",'INPUT DATA'!N49)</f>
        <v/>
      </c>
      <c r="D107" s="254"/>
      <c r="E107" s="254"/>
      <c r="F107" s="156"/>
      <c r="G107" s="157"/>
      <c r="H107" s="157"/>
      <c r="I107" s="157"/>
      <c r="J107" s="158"/>
      <c r="K107" s="70" t="str">
        <f t="shared" si="36"/>
        <v/>
      </c>
      <c r="L107" s="73" t="str">
        <f t="shared" si="37"/>
        <v/>
      </c>
      <c r="M107" s="74" t="str">
        <f t="shared" si="38"/>
        <v/>
      </c>
      <c r="N107" s="156"/>
      <c r="O107" s="157"/>
      <c r="P107" s="158"/>
      <c r="Q107" s="70" t="str">
        <f t="shared" si="39"/>
        <v/>
      </c>
      <c r="R107" s="73" t="str">
        <f t="shared" si="40"/>
        <v/>
      </c>
      <c r="S107" s="74" t="str">
        <f t="shared" si="41"/>
        <v/>
      </c>
      <c r="T107" s="156"/>
      <c r="U107" s="157"/>
      <c r="V107" s="158"/>
      <c r="W107" s="70" t="str">
        <f t="shared" si="42"/>
        <v/>
      </c>
      <c r="X107" s="73" t="str">
        <f t="shared" si="43"/>
        <v/>
      </c>
      <c r="Y107" s="74" t="str">
        <f t="shared" si="44"/>
        <v/>
      </c>
      <c r="Z107" s="84" t="str">
        <f t="shared" si="45"/>
        <v/>
      </c>
      <c r="AA107" s="85" t="str">
        <f t="shared" si="46"/>
        <v/>
      </c>
      <c r="AB107" s="86" t="str">
        <f t="shared" si="47"/>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53" t="str">
        <f>IF('INPUT DATA'!N50="","",'INPUT DATA'!N50)</f>
        <v/>
      </c>
      <c r="D108" s="254"/>
      <c r="E108" s="254"/>
      <c r="F108" s="156"/>
      <c r="G108" s="157"/>
      <c r="H108" s="157"/>
      <c r="I108" s="157"/>
      <c r="J108" s="158"/>
      <c r="K108" s="70" t="str">
        <f t="shared" si="36"/>
        <v/>
      </c>
      <c r="L108" s="73" t="str">
        <f t="shared" si="37"/>
        <v/>
      </c>
      <c r="M108" s="74" t="str">
        <f t="shared" si="38"/>
        <v/>
      </c>
      <c r="N108" s="156"/>
      <c r="O108" s="157"/>
      <c r="P108" s="158"/>
      <c r="Q108" s="70" t="str">
        <f t="shared" si="39"/>
        <v/>
      </c>
      <c r="R108" s="73" t="str">
        <f t="shared" si="40"/>
        <v/>
      </c>
      <c r="S108" s="74" t="str">
        <f t="shared" si="41"/>
        <v/>
      </c>
      <c r="T108" s="156"/>
      <c r="U108" s="157"/>
      <c r="V108" s="158"/>
      <c r="W108" s="70" t="str">
        <f t="shared" si="42"/>
        <v/>
      </c>
      <c r="X108" s="73" t="str">
        <f t="shared" si="43"/>
        <v/>
      </c>
      <c r="Y108" s="74" t="str">
        <f t="shared" si="44"/>
        <v/>
      </c>
      <c r="Z108" s="84" t="str">
        <f t="shared" si="45"/>
        <v/>
      </c>
      <c r="AA108" s="85" t="str">
        <f t="shared" si="46"/>
        <v/>
      </c>
      <c r="AB108" s="86" t="str">
        <f t="shared" si="47"/>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53" t="str">
        <f>IF('INPUT DATA'!N51="","",'INPUT DATA'!N51)</f>
        <v/>
      </c>
      <c r="D109" s="254"/>
      <c r="E109" s="254"/>
      <c r="F109" s="156"/>
      <c r="G109" s="157"/>
      <c r="H109" s="157"/>
      <c r="I109" s="157"/>
      <c r="J109" s="158"/>
      <c r="K109" s="70" t="str">
        <f t="shared" si="36"/>
        <v/>
      </c>
      <c r="L109" s="73" t="str">
        <f t="shared" si="37"/>
        <v/>
      </c>
      <c r="M109" s="74" t="str">
        <f t="shared" si="38"/>
        <v/>
      </c>
      <c r="N109" s="156"/>
      <c r="O109" s="157"/>
      <c r="P109" s="158"/>
      <c r="Q109" s="70" t="str">
        <f t="shared" si="39"/>
        <v/>
      </c>
      <c r="R109" s="73" t="str">
        <f t="shared" si="40"/>
        <v/>
      </c>
      <c r="S109" s="74" t="str">
        <f t="shared" si="41"/>
        <v/>
      </c>
      <c r="T109" s="156"/>
      <c r="U109" s="157"/>
      <c r="V109" s="158"/>
      <c r="W109" s="70" t="str">
        <f t="shared" si="42"/>
        <v/>
      </c>
      <c r="X109" s="73" t="str">
        <f t="shared" si="43"/>
        <v/>
      </c>
      <c r="Y109" s="74" t="str">
        <f t="shared" si="44"/>
        <v/>
      </c>
      <c r="Z109" s="84" t="str">
        <f t="shared" si="45"/>
        <v/>
      </c>
      <c r="AA109" s="85" t="str">
        <f t="shared" si="46"/>
        <v/>
      </c>
      <c r="AB109" s="86" t="str">
        <f t="shared" si="47"/>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53" t="str">
        <f>IF('INPUT DATA'!N52="","",'INPUT DATA'!N52)</f>
        <v/>
      </c>
      <c r="D110" s="254"/>
      <c r="E110" s="254"/>
      <c r="F110" s="156"/>
      <c r="G110" s="157"/>
      <c r="H110" s="157"/>
      <c r="I110" s="157"/>
      <c r="J110" s="158"/>
      <c r="K110" s="70" t="str">
        <f t="shared" si="36"/>
        <v/>
      </c>
      <c r="L110" s="73" t="str">
        <f t="shared" si="37"/>
        <v/>
      </c>
      <c r="M110" s="74" t="str">
        <f t="shared" si="38"/>
        <v/>
      </c>
      <c r="N110" s="156"/>
      <c r="O110" s="157"/>
      <c r="P110" s="158"/>
      <c r="Q110" s="70" t="str">
        <f t="shared" si="39"/>
        <v/>
      </c>
      <c r="R110" s="73" t="str">
        <f t="shared" si="40"/>
        <v/>
      </c>
      <c r="S110" s="74" t="str">
        <f t="shared" si="41"/>
        <v/>
      </c>
      <c r="T110" s="156"/>
      <c r="U110" s="157"/>
      <c r="V110" s="158"/>
      <c r="W110" s="70" t="str">
        <f t="shared" si="42"/>
        <v/>
      </c>
      <c r="X110" s="73" t="str">
        <f t="shared" si="43"/>
        <v/>
      </c>
      <c r="Y110" s="74" t="str">
        <f t="shared" si="44"/>
        <v/>
      </c>
      <c r="Z110" s="84" t="str">
        <f t="shared" si="45"/>
        <v/>
      </c>
      <c r="AA110" s="85" t="str">
        <f t="shared" si="46"/>
        <v/>
      </c>
      <c r="AB110" s="86" t="str">
        <f t="shared" si="47"/>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53" t="str">
        <f>IF('INPUT DATA'!N53="","",'INPUT DATA'!N53)</f>
        <v/>
      </c>
      <c r="D111" s="254"/>
      <c r="E111" s="254"/>
      <c r="F111" s="156"/>
      <c r="G111" s="157"/>
      <c r="H111" s="157"/>
      <c r="I111" s="157"/>
      <c r="J111" s="158"/>
      <c r="K111" s="70" t="str">
        <f t="shared" si="36"/>
        <v/>
      </c>
      <c r="L111" s="73" t="str">
        <f t="shared" si="37"/>
        <v/>
      </c>
      <c r="M111" s="74" t="str">
        <f t="shared" si="38"/>
        <v/>
      </c>
      <c r="N111" s="156"/>
      <c r="O111" s="157"/>
      <c r="P111" s="158"/>
      <c r="Q111" s="70" t="str">
        <f t="shared" si="39"/>
        <v/>
      </c>
      <c r="R111" s="73" t="str">
        <f t="shared" si="40"/>
        <v/>
      </c>
      <c r="S111" s="74" t="str">
        <f t="shared" si="41"/>
        <v/>
      </c>
      <c r="T111" s="156"/>
      <c r="U111" s="157"/>
      <c r="V111" s="158"/>
      <c r="W111" s="70" t="str">
        <f t="shared" si="42"/>
        <v/>
      </c>
      <c r="X111" s="73" t="str">
        <f t="shared" si="43"/>
        <v/>
      </c>
      <c r="Y111" s="74" t="str">
        <f t="shared" si="44"/>
        <v/>
      </c>
      <c r="Z111" s="84" t="str">
        <f t="shared" si="45"/>
        <v/>
      </c>
      <c r="AA111" s="85" t="str">
        <f t="shared" si="46"/>
        <v/>
      </c>
      <c r="AB111" s="86" t="str">
        <f t="shared" si="47"/>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53" t="str">
        <f>IF('INPUT DATA'!N54="","",'INPUT DATA'!N54)</f>
        <v/>
      </c>
      <c r="D112" s="254"/>
      <c r="E112" s="254"/>
      <c r="F112" s="156"/>
      <c r="G112" s="157"/>
      <c r="H112" s="157"/>
      <c r="I112" s="157"/>
      <c r="J112" s="158"/>
      <c r="K112" s="70" t="str">
        <f t="shared" si="36"/>
        <v/>
      </c>
      <c r="L112" s="73" t="str">
        <f t="shared" si="37"/>
        <v/>
      </c>
      <c r="M112" s="74" t="str">
        <f t="shared" si="38"/>
        <v/>
      </c>
      <c r="N112" s="156"/>
      <c r="O112" s="157"/>
      <c r="P112" s="158"/>
      <c r="Q112" s="70" t="str">
        <f t="shared" si="39"/>
        <v/>
      </c>
      <c r="R112" s="73" t="str">
        <f t="shared" si="40"/>
        <v/>
      </c>
      <c r="S112" s="74" t="str">
        <f t="shared" si="41"/>
        <v/>
      </c>
      <c r="T112" s="156"/>
      <c r="U112" s="157"/>
      <c r="V112" s="158"/>
      <c r="W112" s="70" t="str">
        <f t="shared" si="42"/>
        <v/>
      </c>
      <c r="X112" s="73" t="str">
        <f t="shared" si="43"/>
        <v/>
      </c>
      <c r="Y112" s="74" t="str">
        <f t="shared" si="44"/>
        <v/>
      </c>
      <c r="Z112" s="84" t="str">
        <f t="shared" si="45"/>
        <v/>
      </c>
      <c r="AA112" s="85" t="str">
        <f t="shared" si="46"/>
        <v/>
      </c>
      <c r="AB112" s="86" t="str">
        <f t="shared" si="47"/>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53" t="str">
        <f>IF('INPUT DATA'!N55="","",'INPUT DATA'!N55)</f>
        <v/>
      </c>
      <c r="D113" s="254"/>
      <c r="E113" s="254"/>
      <c r="F113" s="156"/>
      <c r="G113" s="157"/>
      <c r="H113" s="157"/>
      <c r="I113" s="157"/>
      <c r="J113" s="158"/>
      <c r="K113" s="70" t="str">
        <f t="shared" si="36"/>
        <v/>
      </c>
      <c r="L113" s="73" t="str">
        <f t="shared" si="37"/>
        <v/>
      </c>
      <c r="M113" s="74" t="str">
        <f t="shared" si="38"/>
        <v/>
      </c>
      <c r="N113" s="156"/>
      <c r="O113" s="157"/>
      <c r="P113" s="158"/>
      <c r="Q113" s="70" t="str">
        <f t="shared" si="39"/>
        <v/>
      </c>
      <c r="R113" s="73" t="str">
        <f t="shared" si="40"/>
        <v/>
      </c>
      <c r="S113" s="74" t="str">
        <f t="shared" si="41"/>
        <v/>
      </c>
      <c r="T113" s="156"/>
      <c r="U113" s="157"/>
      <c r="V113" s="158"/>
      <c r="W113" s="70" t="str">
        <f t="shared" si="42"/>
        <v/>
      </c>
      <c r="X113" s="73" t="str">
        <f t="shared" si="43"/>
        <v/>
      </c>
      <c r="Y113" s="74" t="str">
        <f t="shared" si="44"/>
        <v/>
      </c>
      <c r="Z113" s="84" t="str">
        <f t="shared" si="45"/>
        <v/>
      </c>
      <c r="AA113" s="85" t="str">
        <f t="shared" si="46"/>
        <v/>
      </c>
      <c r="AB113" s="86" t="str">
        <f t="shared" si="47"/>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53" t="str">
        <f>IF('INPUT DATA'!N56="","",'INPUT DATA'!N56)</f>
        <v/>
      </c>
      <c r="D114" s="254"/>
      <c r="E114" s="254"/>
      <c r="F114" s="156"/>
      <c r="G114" s="157"/>
      <c r="H114" s="157"/>
      <c r="I114" s="157"/>
      <c r="J114" s="158"/>
      <c r="K114" s="70" t="str">
        <f t="shared" si="36"/>
        <v/>
      </c>
      <c r="L114" s="73" t="str">
        <f t="shared" si="37"/>
        <v/>
      </c>
      <c r="M114" s="74" t="str">
        <f t="shared" si="38"/>
        <v/>
      </c>
      <c r="N114" s="156"/>
      <c r="O114" s="157"/>
      <c r="P114" s="158"/>
      <c r="Q114" s="70" t="str">
        <f t="shared" si="39"/>
        <v/>
      </c>
      <c r="R114" s="73" t="str">
        <f t="shared" si="40"/>
        <v/>
      </c>
      <c r="S114" s="74" t="str">
        <f t="shared" si="41"/>
        <v/>
      </c>
      <c r="T114" s="156"/>
      <c r="U114" s="157"/>
      <c r="V114" s="158"/>
      <c r="W114" s="70" t="str">
        <f t="shared" si="42"/>
        <v/>
      </c>
      <c r="X114" s="73" t="str">
        <f t="shared" si="43"/>
        <v/>
      </c>
      <c r="Y114" s="74" t="str">
        <f t="shared" si="44"/>
        <v/>
      </c>
      <c r="Z114" s="84" t="str">
        <f t="shared" si="45"/>
        <v/>
      </c>
      <c r="AA114" s="85" t="str">
        <f t="shared" si="46"/>
        <v/>
      </c>
      <c r="AB114" s="86" t="str">
        <f t="shared" si="47"/>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53" t="str">
        <f>IF('INPUT DATA'!N57="","",'INPUT DATA'!N57)</f>
        <v/>
      </c>
      <c r="D115" s="254"/>
      <c r="E115" s="254"/>
      <c r="F115" s="156"/>
      <c r="G115" s="157"/>
      <c r="H115" s="157"/>
      <c r="I115" s="157"/>
      <c r="J115" s="158"/>
      <c r="K115" s="70" t="str">
        <f t="shared" si="36"/>
        <v/>
      </c>
      <c r="L115" s="73" t="str">
        <f t="shared" si="37"/>
        <v/>
      </c>
      <c r="M115" s="74" t="str">
        <f t="shared" si="38"/>
        <v/>
      </c>
      <c r="N115" s="156"/>
      <c r="O115" s="157"/>
      <c r="P115" s="158"/>
      <c r="Q115" s="70" t="str">
        <f t="shared" si="39"/>
        <v/>
      </c>
      <c r="R115" s="73" t="str">
        <f t="shared" si="40"/>
        <v/>
      </c>
      <c r="S115" s="74" t="str">
        <f t="shared" si="41"/>
        <v/>
      </c>
      <c r="T115" s="156"/>
      <c r="U115" s="157"/>
      <c r="V115" s="158"/>
      <c r="W115" s="70" t="str">
        <f t="shared" si="42"/>
        <v/>
      </c>
      <c r="X115" s="73" t="str">
        <f t="shared" si="43"/>
        <v/>
      </c>
      <c r="Y115" s="74" t="str">
        <f t="shared" si="44"/>
        <v/>
      </c>
      <c r="Z115" s="84" t="str">
        <f t="shared" si="45"/>
        <v/>
      </c>
      <c r="AA115" s="85" t="str">
        <f t="shared" si="46"/>
        <v/>
      </c>
      <c r="AB115" s="86" t="str">
        <f t="shared" si="47"/>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53" t="str">
        <f>IF('INPUT DATA'!N58="","",'INPUT DATA'!N58)</f>
        <v/>
      </c>
      <c r="D116" s="254"/>
      <c r="E116" s="254"/>
      <c r="F116" s="156"/>
      <c r="G116" s="157"/>
      <c r="H116" s="157"/>
      <c r="I116" s="157"/>
      <c r="J116" s="158"/>
      <c r="K116" s="70" t="str">
        <f t="shared" si="36"/>
        <v/>
      </c>
      <c r="L116" s="73" t="str">
        <f t="shared" si="37"/>
        <v/>
      </c>
      <c r="M116" s="74" t="str">
        <f t="shared" si="38"/>
        <v/>
      </c>
      <c r="N116" s="156"/>
      <c r="O116" s="157"/>
      <c r="P116" s="158"/>
      <c r="Q116" s="70" t="str">
        <f t="shared" si="39"/>
        <v/>
      </c>
      <c r="R116" s="73" t="str">
        <f t="shared" si="40"/>
        <v/>
      </c>
      <c r="S116" s="74" t="str">
        <f t="shared" si="41"/>
        <v/>
      </c>
      <c r="T116" s="156"/>
      <c r="U116" s="157"/>
      <c r="V116" s="158"/>
      <c r="W116" s="70" t="str">
        <f t="shared" si="42"/>
        <v/>
      </c>
      <c r="X116" s="73" t="str">
        <f t="shared" si="43"/>
        <v/>
      </c>
      <c r="Y116" s="74" t="str">
        <f t="shared" si="44"/>
        <v/>
      </c>
      <c r="Z116" s="84" t="str">
        <f t="shared" si="45"/>
        <v/>
      </c>
      <c r="AA116" s="85" t="str">
        <f t="shared" si="46"/>
        <v/>
      </c>
      <c r="AB116" s="86" t="str">
        <f t="shared" si="47"/>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53" t="str">
        <f>IF('INPUT DATA'!N59="","",'INPUT DATA'!N59)</f>
        <v/>
      </c>
      <c r="D117" s="254"/>
      <c r="E117" s="254"/>
      <c r="F117" s="156"/>
      <c r="G117" s="157"/>
      <c r="H117" s="157"/>
      <c r="I117" s="157"/>
      <c r="J117" s="158"/>
      <c r="K117" s="70" t="str">
        <f t="shared" si="36"/>
        <v/>
      </c>
      <c r="L117" s="73" t="str">
        <f t="shared" si="37"/>
        <v/>
      </c>
      <c r="M117" s="74" t="str">
        <f t="shared" si="38"/>
        <v/>
      </c>
      <c r="N117" s="156"/>
      <c r="O117" s="157"/>
      <c r="P117" s="158"/>
      <c r="Q117" s="70" t="str">
        <f t="shared" si="39"/>
        <v/>
      </c>
      <c r="R117" s="73" t="str">
        <f t="shared" si="40"/>
        <v/>
      </c>
      <c r="S117" s="74" t="str">
        <f t="shared" si="41"/>
        <v/>
      </c>
      <c r="T117" s="156"/>
      <c r="U117" s="157"/>
      <c r="V117" s="158"/>
      <c r="W117" s="70" t="str">
        <f t="shared" si="42"/>
        <v/>
      </c>
      <c r="X117" s="73" t="str">
        <f t="shared" si="43"/>
        <v/>
      </c>
      <c r="Y117" s="74" t="str">
        <f t="shared" si="44"/>
        <v/>
      </c>
      <c r="Z117" s="84" t="str">
        <f t="shared" si="45"/>
        <v/>
      </c>
      <c r="AA117" s="85" t="str">
        <f t="shared" si="46"/>
        <v/>
      </c>
      <c r="AB117" s="86" t="str">
        <f t="shared" si="47"/>
        <v/>
      </c>
      <c r="AC117" s="82" t="str">
        <f>IF(AB117="","",IFERROR(INDEX(HELPER!$D$8:$D$48,IFERROR(MATCH(AB117,HELPER!$B$8:$B$48,0),MATCH(AB117,HELPER!$B$8:$B$48,-1)+1)),""))</f>
        <v/>
      </c>
      <c r="AD117" s="99" t="str">
        <f>IF(AC117="","",IFERROR(INDEX(HELPER!$G$8:$G$48,MATCH(AC117,HELPER!$F$8:$F$48,-1)),""))</f>
        <v/>
      </c>
      <c r="AE117" s="131"/>
      <c r="AF117" s="133"/>
    </row>
    <row r="118" spans="1:32" ht="15" customHeight="1" x14ac:dyDescent="0.25">
      <c r="A118" s="131"/>
      <c r="B118" s="166">
        <v>50</v>
      </c>
      <c r="C118" s="256" t="str">
        <f>IF('INPUT DATA'!N60="","",'INPUT DATA'!N60)</f>
        <v/>
      </c>
      <c r="D118" s="257"/>
      <c r="E118" s="257"/>
      <c r="F118" s="160"/>
      <c r="G118" s="161"/>
      <c r="H118" s="161"/>
      <c r="I118" s="161"/>
      <c r="J118" s="162"/>
      <c r="K118" s="91" t="str">
        <f t="shared" si="36"/>
        <v/>
      </c>
      <c r="L118" s="92" t="str">
        <f t="shared" si="37"/>
        <v/>
      </c>
      <c r="M118" s="93" t="str">
        <f t="shared" si="38"/>
        <v/>
      </c>
      <c r="N118" s="160"/>
      <c r="O118" s="161"/>
      <c r="P118" s="162"/>
      <c r="Q118" s="91" t="str">
        <f t="shared" si="39"/>
        <v/>
      </c>
      <c r="R118" s="92" t="str">
        <f t="shared" si="40"/>
        <v/>
      </c>
      <c r="S118" s="93" t="str">
        <f t="shared" si="41"/>
        <v/>
      </c>
      <c r="T118" s="160"/>
      <c r="U118" s="161"/>
      <c r="V118" s="162"/>
      <c r="W118" s="91" t="str">
        <f t="shared" si="42"/>
        <v/>
      </c>
      <c r="X118" s="92" t="str">
        <f t="shared" si="43"/>
        <v/>
      </c>
      <c r="Y118" s="93" t="str">
        <f t="shared" si="44"/>
        <v/>
      </c>
      <c r="Z118" s="100" t="str">
        <f t="shared" si="45"/>
        <v/>
      </c>
      <c r="AA118" s="101" t="str">
        <f t="shared" si="46"/>
        <v/>
      </c>
      <c r="AB118" s="102" t="str">
        <f t="shared" si="47"/>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58"/>
      <c r="D119" s="213"/>
      <c r="E119" s="213"/>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58"/>
      <c r="D120" s="213"/>
      <c r="E120" s="213"/>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mXlkX3bMIU1Y9xIRMTAQ4M/dalTfAdSa0coNTIQdLmLUFlLbfSrfjr6DC3Tam4//5xbVdonubhqxxua9SfoaYw==" saltValue="sSI0L9B97UQuwpQpihNfRQ==" spinCount="100000" sheet="1" formatCells="0" formatColumns="0" formatRows="0"/>
  <mergeCells count="128">
    <mergeCell ref="C90:E90"/>
    <mergeCell ref="C43:E43"/>
    <mergeCell ref="C63:E63"/>
    <mergeCell ref="C50:E50"/>
    <mergeCell ref="C105:E105"/>
    <mergeCell ref="C67:E67"/>
    <mergeCell ref="C72:E72"/>
    <mergeCell ref="N10:P11"/>
    <mergeCell ref="C65:E65"/>
    <mergeCell ref="C47:E47"/>
    <mergeCell ref="N12:S13"/>
    <mergeCell ref="J10:M10"/>
    <mergeCell ref="C120:E120"/>
    <mergeCell ref="C110:E110"/>
    <mergeCell ref="C119:E119"/>
    <mergeCell ref="AC12:AC15"/>
    <mergeCell ref="C114:E114"/>
    <mergeCell ref="C59:E59"/>
    <mergeCell ref="C46:E46"/>
    <mergeCell ref="C52:E52"/>
    <mergeCell ref="C61:E61"/>
    <mergeCell ref="C39:E39"/>
    <mergeCell ref="C70:E70"/>
    <mergeCell ref="C48:E48"/>
    <mergeCell ref="C106:E106"/>
    <mergeCell ref="C32:E32"/>
    <mergeCell ref="C38:E38"/>
    <mergeCell ref="C113:E113"/>
    <mergeCell ref="C20:E20"/>
    <mergeCell ref="C100:E100"/>
    <mergeCell ref="C95:E95"/>
    <mergeCell ref="C82:E82"/>
    <mergeCell ref="C66:E66"/>
    <mergeCell ref="C19:E19"/>
    <mergeCell ref="C53:E53"/>
    <mergeCell ref="C102:E102"/>
    <mergeCell ref="C18:E18"/>
    <mergeCell ref="F11:I11"/>
    <mergeCell ref="B17:AD17"/>
    <mergeCell ref="J11:M11"/>
    <mergeCell ref="C23:E23"/>
    <mergeCell ref="C73:E73"/>
    <mergeCell ref="C62:E62"/>
    <mergeCell ref="C21:E21"/>
    <mergeCell ref="F12:M13"/>
    <mergeCell ref="C24:E24"/>
    <mergeCell ref="C33:E33"/>
    <mergeCell ref="C34:E34"/>
    <mergeCell ref="C42:E42"/>
    <mergeCell ref="C58:E58"/>
    <mergeCell ref="C45:E45"/>
    <mergeCell ref="AD12:AD15"/>
    <mergeCell ref="Y10:Z11"/>
    <mergeCell ref="C54:E54"/>
    <mergeCell ref="C41:E41"/>
    <mergeCell ref="C56:E56"/>
    <mergeCell ref="C112:E112"/>
    <mergeCell ref="C85:E85"/>
    <mergeCell ref="B68:AD68"/>
    <mergeCell ref="C104:E104"/>
    <mergeCell ref="C79:E79"/>
    <mergeCell ref="C98:E98"/>
    <mergeCell ref="C80:E80"/>
    <mergeCell ref="C31:E31"/>
    <mergeCell ref="C107:E107"/>
    <mergeCell ref="C64:E64"/>
    <mergeCell ref="C91:E91"/>
    <mergeCell ref="C57:E57"/>
    <mergeCell ref="C81:E81"/>
    <mergeCell ref="C87:E87"/>
    <mergeCell ref="C101:E101"/>
    <mergeCell ref="C77:E77"/>
    <mergeCell ref="C74:E74"/>
    <mergeCell ref="C89:E89"/>
    <mergeCell ref="C103:E103"/>
    <mergeCell ref="C111:E111"/>
    <mergeCell ref="C86:E86"/>
    <mergeCell ref="C83:E83"/>
    <mergeCell ref="C108:E108"/>
    <mergeCell ref="C93:E93"/>
    <mergeCell ref="Q10:X11"/>
    <mergeCell ref="C60:E60"/>
    <mergeCell ref="C71:E71"/>
    <mergeCell ref="F7:V7"/>
    <mergeCell ref="B10:E14"/>
    <mergeCell ref="C44:E44"/>
    <mergeCell ref="T12:AA13"/>
    <mergeCell ref="C27:E27"/>
    <mergeCell ref="C118:E118"/>
    <mergeCell ref="C84:E84"/>
    <mergeCell ref="C75:E75"/>
    <mergeCell ref="C22:E22"/>
    <mergeCell ref="C116:E116"/>
    <mergeCell ref="C117:E117"/>
    <mergeCell ref="C115:E115"/>
    <mergeCell ref="C109:E109"/>
    <mergeCell ref="C28:E28"/>
    <mergeCell ref="C37:E37"/>
    <mergeCell ref="C69:E69"/>
    <mergeCell ref="C96:E96"/>
    <mergeCell ref="C78:E78"/>
    <mergeCell ref="C92:E92"/>
    <mergeCell ref="C30:E30"/>
    <mergeCell ref="C40:E40"/>
    <mergeCell ref="B2:AD3"/>
    <mergeCell ref="Z7:AB7"/>
    <mergeCell ref="AA10:AD11"/>
    <mergeCell ref="C88:E88"/>
    <mergeCell ref="C26:E26"/>
    <mergeCell ref="C35:E35"/>
    <mergeCell ref="C76:E76"/>
    <mergeCell ref="C99:E99"/>
    <mergeCell ref="C94:E94"/>
    <mergeCell ref="F10:I10"/>
    <mergeCell ref="C49:E49"/>
    <mergeCell ref="C51:E51"/>
    <mergeCell ref="C97:E97"/>
    <mergeCell ref="C29:E29"/>
    <mergeCell ref="C55:E55"/>
    <mergeCell ref="B15:E15"/>
    <mergeCell ref="B16:AD16"/>
    <mergeCell ref="C36:E36"/>
    <mergeCell ref="C25:E25"/>
    <mergeCell ref="F5:L5"/>
    <mergeCell ref="B9:AD9"/>
    <mergeCell ref="Z5:AB5"/>
    <mergeCell ref="AB12:AB15"/>
    <mergeCell ref="R5:V5"/>
  </mergeCells>
  <dataValidations count="29">
    <dataValidation type="custom" allowBlank="1" showInputMessage="1" showErrorMessage="1" errorTitle="Invalid Entry" error="The score cannot be greater than the HPS." promptTitle="Score Entry" prompt="Enter learners' raw scores." sqref="V69:V118" xr:uid="{00000000-0002-0000-0300-000000000000}">
      <formula1>V69&lt;=$V$15</formula1>
    </dataValidation>
    <dataValidation type="custom" allowBlank="1" showInputMessage="1" showErrorMessage="1" errorTitle="Invalid Entry" error="The score cannot be greater than the HPS." promptTitle="Score Entry" prompt="Enter learners' raw scores." sqref="U69:U118 U18:U67" xr:uid="{00000000-0002-0000-0300-000001000000}">
      <formula1>U18&lt;=$U$15</formula1>
    </dataValidation>
    <dataValidation type="custom" allowBlank="1" showInputMessage="1" showErrorMessage="1" errorTitle="Invalid Entry" error="The score cannot be greater than the HPS." promptTitle="Score Entry" prompt="Enter learners' raw scores." sqref="T69:T118" xr:uid="{00000000-0002-0000-0300-000002000000}">
      <formula1>U69&lt;=$U$15</formula1>
    </dataValidation>
    <dataValidation type="custom" allowBlank="1" showInputMessage="1" showErrorMessage="1" errorTitle="Invalid Entry" error="The score cannot be greater than the HPS." promptTitle="Score Entry" prompt="Enter learners' raw scores." sqref="N69:N118 N18:N67" xr:uid="{00000000-0002-0000-0300-000003000000}">
      <formula1>N18&lt;=$N$15</formula1>
    </dataValidation>
    <dataValidation type="custom" allowBlank="1" showInputMessage="1" showErrorMessage="1" errorTitle="Invalid Entry" error="The score cannot be greater than the HPS." promptTitle="Score Entry" prompt="Enter learners' raw scores." sqref="P69:P118 P18:P67" xr:uid="{00000000-0002-0000-0300-000004000000}">
      <formula1>P18&lt;=$P$15</formula1>
    </dataValidation>
    <dataValidation type="custom" allowBlank="1" showInputMessage="1" showErrorMessage="1" errorTitle="Invalid Entry" error="The score cannot be greater than the HPS." promptTitle="Score Entry" prompt="Enter learners' raw scores." sqref="G69:G118" xr:uid="{00000000-0002-0000-0300-000005000000}">
      <formula1>G69&lt;=$G$15</formula1>
    </dataValidation>
    <dataValidation type="custom" allowBlank="1" showInputMessage="1" showErrorMessage="1" errorTitle="Invalid Entry" error="The score cannot be greater than the HPS." promptTitle="Score Entry" prompt="Enter learners' raw scores." sqref="O69:O118 O18:O67" xr:uid="{00000000-0002-0000-0300-000006000000}">
      <formula1>O18&lt;=$O$15</formula1>
    </dataValidation>
    <dataValidation type="custom" allowBlank="1" showInputMessage="1" showErrorMessage="1" errorTitle="Invalid Entry" error="The score cannot be greater than the HPS." promptTitle="Score Entry" prompt="Enter learners' raw scores." sqref="J69:J118 J18:J67" xr:uid="{00000000-0002-0000-0300-000007000000}">
      <formula1>J18&lt;=$J$15</formula1>
    </dataValidation>
    <dataValidation type="custom" allowBlank="1" showInputMessage="1" showErrorMessage="1" errorTitle="Invalid Entry" error="The score cannot be greater than the HPS." promptTitle="Score Entry" prompt="Enter learners' raw scores." sqref="I69:I118 I18:I67" xr:uid="{00000000-0002-0000-0300-000008000000}">
      <formula1>I18&lt;=$I$15</formula1>
    </dataValidation>
    <dataValidation type="custom" allowBlank="1" showInputMessage="1" showErrorMessage="1" errorTitle="Invalid Entry" error="The score cannot be greater than the HPS." promptTitle="Score Entry" prompt="Enter learners' raw scores." sqref="H69:H118 H18:H67" xr:uid="{00000000-0002-0000-0300-000009000000}">
      <formula1>H18&lt;=$H$15</formula1>
    </dataValidation>
    <dataValidation type="custom" allowBlank="1" showInputMessage="1" showErrorMessage="1" errorTitle="Invalid Entry" error="The score cannot be greater than the HPS." promptTitle="Score Entry" prompt="Enter learners' raw scores." sqref="F18:F67 F69:F118" xr:uid="{00000000-0002-0000-0300-00000A000000}">
      <formula1>F18&lt;=$F$15</formula1>
    </dataValidation>
    <dataValidation type="whole" allowBlank="1" showInputMessage="1" showErrorMessage="1" promptTitle="Highest Possible Score" prompt="Enter HPS." sqref="T15:V15 F15:J15 N15:P15" xr:uid="{00000000-0002-0000-0300-00000E000000}">
      <formula1>0</formula1>
      <formula2>1000</formula2>
    </dataValidation>
    <dataValidation allowBlank="1" showInputMessage="1" showErrorMessage="1" prompt="Transmuted Term Grade" sqref="AC18:AC67 AC69:AC118" xr:uid="{00000000-0002-0000-0300-00000F000000}"/>
    <dataValidation allowBlank="1" showInputMessage="1" showErrorMessage="1" prompt="INITIAL GRADE" sqref="AB18:AB67 AB69:AB118" xr:uid="{00000000-0002-0000-0300-000010000000}"/>
    <dataValidation allowBlank="1" showInputMessage="1" showErrorMessage="1" prompt="Examinations' Weighted Score" sqref="AA15 AA18:AA67 AA69:AA118" xr:uid="{00000000-0002-0000-0300-000011000000}"/>
    <dataValidation allowBlank="1" showInputMessage="1" showErrorMessage="1" prompt="Examinations' Percetage Score" sqref="Z15 Z18:Z67 Z69:Z118" xr:uid="{00000000-0002-0000-0300-000012000000}"/>
    <dataValidation allowBlank="1" showInputMessage="1" showErrorMessage="1" prompt="Weighted Score for Term Exam" sqref="Y15 Y18:Y67 Y69:Y118" xr:uid="{00000000-0002-0000-0300-000013000000}"/>
    <dataValidation allowBlank="1" showInputMessage="1" showErrorMessage="1" prompt="Weighted Score for Summative Test 2" sqref="X15 X18:X67 X69:X118" xr:uid="{00000000-0002-0000-0300-000014000000}"/>
    <dataValidation allowBlank="1" showInputMessage="1" showErrorMessage="1" prompt="Weighted Score for Summative Test 1" sqref="W15 W18:W67 W69:W118" xr:uid="{00000000-0002-0000-0300-000015000000}"/>
    <dataValidation allowBlank="1" showInputMessage="1" showErrorMessage="1" prompt="Products/Performance Tasks' Weighted Score." sqref="S15 S18:S67 S69:S118" xr:uid="{00000000-0002-0000-0300-000016000000}"/>
    <dataValidation allowBlank="1" showInputMessage="1" showErrorMessage="1" prompt="Products/Performance Tasks' Percentage Score." sqref="R15 R18:R67 R69:R118" xr:uid="{00000000-0002-0000-0300-000017000000}"/>
    <dataValidation allowBlank="1" showInputMessage="1" showErrorMessage="1" prompt="Written/Oral Works' Weighted Score." sqref="M15 M18:M67 M69:M118" xr:uid="{00000000-0002-0000-0300-000018000000}"/>
    <dataValidation allowBlank="1" showInputMessage="1" showErrorMessage="1" prompt="Written/Oral Works' Percentage Score." sqref="L15 L18:L67 L69:L118" xr:uid="{00000000-0002-0000-0300-000019000000}"/>
    <dataValidation allowBlank="1" showInputMessage="1" showErrorMessage="1" prompt="Products/Performance Tasks' Highest Possible Score." sqref="Q15 Q18:Q67 Q69:Q118" xr:uid="{00000000-0002-0000-0300-00001A000000}"/>
    <dataValidation allowBlank="1" showInputMessage="1" showErrorMessage="1" prompt="Written/Oral Works' Highest Possible Score." sqref="K15 K18:K67 K69:K118" xr:uid="{00000000-0002-0000-0300-00001B000000}"/>
    <dataValidation allowBlank="1" showInputMessage="1" showErrorMessage="1" prompt="Do not type name of learners here. Go to INPUT DATA sheet." sqref="C18:E67 C69:E118" xr:uid="{00000000-0002-0000-0300-00001C000000}"/>
    <dataValidation type="custom" allowBlank="1" showInputMessage="1" showErrorMessage="1" errorTitle="Invalid Entry" error="The score cannot be greater than the HPS." promptTitle="Score Entry" prompt="Enter learners' raw scores." sqref="V18:V67" xr:uid="{E78E394B-879F-467A-BC20-C8CC999BE4BF}">
      <formula1>$V$18&lt;=$V$15</formula1>
    </dataValidation>
    <dataValidation type="custom" allowBlank="1" showInputMessage="1" showErrorMessage="1" errorTitle="Invalid Entry" error="The score cannot be greater than the HPS." promptTitle="Score Entry" prompt="Enter learners' raw scores." sqref="T18:T61 T63:T67 T62" xr:uid="{7634892A-4827-4DFC-8C58-3F7FD811A077}">
      <formula1>T18&lt;=$T$15</formula1>
    </dataValidation>
    <dataValidation type="custom" allowBlank="1" showInputMessage="1" showErrorMessage="1" errorTitle="Invalid Entry" error="The score cannot be greater than the HPS" promptTitle="Score Entry" prompt="Enter learners' raw scores." sqref="G18:G63 G65:G67 G64" xr:uid="{196DA59C-BE92-43F4-96E5-3472F0CC0188}">
      <formula1>G18&lt;=$G$15</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R117"/>
  <sheetViews>
    <sheetView showGridLines="0" workbookViewId="0"/>
  </sheetViews>
  <sheetFormatPr defaultColWidth="12.6640625" defaultRowHeight="13.2" x14ac:dyDescent="0.25"/>
  <cols>
    <col min="1" max="2" width="3.88671875" style="129" customWidth="1"/>
    <col min="3" max="5" width="12.6640625" style="129"/>
    <col min="6" max="8" width="15.109375" style="129" customWidth="1"/>
    <col min="9" max="9" width="17.88671875" style="129" customWidth="1"/>
    <col min="10" max="10" width="21.44140625" style="129" customWidth="1"/>
    <col min="11" max="11" width="17.33203125" style="129" customWidth="1"/>
    <col min="12" max="12" width="3.88671875" style="129" customWidth="1"/>
    <col min="13" max="13" width="12.6640625" style="129"/>
    <col min="14" max="14" width="16.33203125" style="129" customWidth="1"/>
    <col min="15" max="16384" width="12.6640625" style="129"/>
  </cols>
  <sheetData>
    <row r="1" spans="1:18" ht="15.75" customHeight="1" x14ac:dyDescent="0.5">
      <c r="A1" s="128"/>
      <c r="L1" s="131"/>
      <c r="M1" s="131"/>
    </row>
    <row r="2" spans="1:18" ht="15.75" customHeight="1" x14ac:dyDescent="0.25">
      <c r="B2" s="268" t="s">
        <v>40</v>
      </c>
      <c r="C2" s="213"/>
      <c r="D2" s="213"/>
      <c r="E2" s="213"/>
      <c r="F2" s="213"/>
      <c r="G2" s="213"/>
      <c r="H2" s="213"/>
      <c r="I2" s="213"/>
      <c r="J2" s="213"/>
      <c r="K2" s="213"/>
      <c r="L2" s="131"/>
      <c r="M2" s="131"/>
    </row>
    <row r="3" spans="1:18" ht="15.75" customHeight="1" x14ac:dyDescent="0.25">
      <c r="B3" s="213"/>
      <c r="C3" s="213"/>
      <c r="D3" s="213"/>
      <c r="E3" s="213"/>
      <c r="F3" s="213"/>
      <c r="G3" s="213"/>
      <c r="H3" s="213"/>
      <c r="I3" s="213"/>
      <c r="J3" s="213"/>
      <c r="K3" s="213"/>
      <c r="L3" s="131"/>
      <c r="M3" s="131"/>
    </row>
    <row r="4" spans="1:18" ht="15.75" customHeight="1" x14ac:dyDescent="0.25">
      <c r="L4" s="131"/>
      <c r="M4" s="131"/>
    </row>
    <row r="5" spans="1:18" ht="15.75" customHeight="1" x14ac:dyDescent="0.25">
      <c r="A5" s="131"/>
      <c r="B5" s="131"/>
      <c r="C5" s="167" t="s">
        <v>3</v>
      </c>
      <c r="D5" s="262" t="str">
        <f>IF('INPUT DATA'!E10="","",'INPUT DATA'!E10)</f>
        <v/>
      </c>
      <c r="E5" s="216"/>
      <c r="F5" s="167" t="s">
        <v>7</v>
      </c>
      <c r="G5" s="262" t="str">
        <f>IF('INPUT DATA'!E11="","",'INPUT DATA'!E11)</f>
        <v/>
      </c>
      <c r="H5" s="216"/>
      <c r="I5" s="167" t="s">
        <v>8</v>
      </c>
      <c r="J5" s="262" t="str">
        <f>IF('INPUT DATA'!E13="","",'INPUT DATA'!E13)</f>
        <v/>
      </c>
      <c r="K5" s="216"/>
      <c r="L5" s="131"/>
      <c r="M5" s="131"/>
    </row>
    <row r="6" spans="1:18" ht="15.75" customHeight="1" x14ac:dyDescent="0.25">
      <c r="A6" s="131"/>
      <c r="B6" s="131"/>
      <c r="C6" s="167" t="s">
        <v>9</v>
      </c>
      <c r="D6" s="262" t="str">
        <f>IF('INPUT DATA'!E14="","",'INPUT DATA'!E14)</f>
        <v/>
      </c>
      <c r="E6" s="215"/>
      <c r="F6" s="215"/>
      <c r="G6" s="215"/>
      <c r="H6" s="216"/>
      <c r="I6" s="167" t="s">
        <v>10</v>
      </c>
      <c r="J6" s="262" t="str">
        <f>IF('INPUT DATA'!E14="","",'INPUT DATA'!E14)</f>
        <v/>
      </c>
      <c r="K6" s="216"/>
      <c r="L6" s="131"/>
      <c r="M6" s="131"/>
    </row>
    <row r="7" spans="1:18" ht="15.75" customHeight="1" x14ac:dyDescent="0.3">
      <c r="A7" s="131"/>
      <c r="B7" s="131"/>
      <c r="C7" s="132"/>
      <c r="D7" s="168"/>
      <c r="E7" s="169"/>
      <c r="F7" s="169"/>
      <c r="G7" s="169"/>
      <c r="H7" s="169"/>
      <c r="I7" s="132"/>
      <c r="J7" s="170"/>
      <c r="K7" s="169"/>
      <c r="L7" s="131"/>
      <c r="M7" s="131"/>
    </row>
    <row r="8" spans="1:18" ht="13.8" customHeight="1" x14ac:dyDescent="0.25">
      <c r="A8" s="131"/>
      <c r="B8" s="261"/>
      <c r="C8" s="221"/>
      <c r="D8" s="221"/>
      <c r="E8" s="221"/>
      <c r="F8" s="221"/>
      <c r="G8" s="221"/>
      <c r="H8" s="221"/>
      <c r="I8" s="221"/>
      <c r="J8" s="221"/>
      <c r="K8" s="221"/>
      <c r="L8" s="131"/>
      <c r="M8" s="131"/>
    </row>
    <row r="9" spans="1:18" ht="15.75" customHeight="1" x14ac:dyDescent="0.25">
      <c r="A9" s="131"/>
      <c r="B9" s="241" t="s">
        <v>15</v>
      </c>
      <c r="C9" s="243"/>
      <c r="D9" s="244" t="str">
        <f>IF('INPUT DATA'!E25="","",'INPUT DATA'!E25)</f>
        <v/>
      </c>
      <c r="E9" s="215"/>
      <c r="F9" s="215"/>
      <c r="G9" s="216"/>
      <c r="H9" s="171" t="s">
        <v>14</v>
      </c>
      <c r="I9" s="244" t="str">
        <f>IF('INPUT DATA'!E24="","",'INPUT DATA'!E24)</f>
        <v/>
      </c>
      <c r="J9" s="215"/>
      <c r="K9" s="216"/>
      <c r="L9" s="131"/>
      <c r="M9" s="131"/>
    </row>
    <row r="10" spans="1:18" ht="15.75" customHeight="1" x14ac:dyDescent="0.25">
      <c r="A10" s="131"/>
      <c r="B10" s="241" t="s">
        <v>16</v>
      </c>
      <c r="C10" s="243"/>
      <c r="D10" s="269" t="str">
        <f>IF('INPUT DATA'!E26="","",'INPUT DATA'!E26)</f>
        <v/>
      </c>
      <c r="E10" s="215"/>
      <c r="F10" s="215"/>
      <c r="G10" s="216"/>
      <c r="H10" s="172" t="s">
        <v>21</v>
      </c>
      <c r="I10" s="262" t="str">
        <f>IF('INPUT DATA'!E23="","",'INPUT DATA'!E23)</f>
        <v/>
      </c>
      <c r="J10" s="215"/>
      <c r="K10" s="216"/>
      <c r="L10" s="131"/>
      <c r="M10" s="131"/>
    </row>
    <row r="11" spans="1:18" ht="14.4" customHeight="1" x14ac:dyDescent="0.25">
      <c r="A11" s="131"/>
      <c r="B11" s="266" t="s">
        <v>2</v>
      </c>
      <c r="C11" s="218"/>
      <c r="D11" s="218"/>
      <c r="E11" s="218"/>
      <c r="F11" s="274" t="s">
        <v>41</v>
      </c>
      <c r="G11" s="227"/>
      <c r="H11" s="228"/>
      <c r="I11" s="259" t="s">
        <v>42</v>
      </c>
      <c r="J11" s="264" t="s">
        <v>43</v>
      </c>
      <c r="K11" s="264" t="s">
        <v>44</v>
      </c>
      <c r="L11" s="131"/>
      <c r="M11" s="131"/>
      <c r="N11" s="173"/>
      <c r="O11" s="173"/>
      <c r="P11" s="173"/>
      <c r="Q11" s="173"/>
      <c r="R11" s="173"/>
    </row>
    <row r="12" spans="1:18" ht="14.4" customHeight="1" thickBot="1" x14ac:dyDescent="0.3">
      <c r="A12" s="131"/>
      <c r="B12" s="220"/>
      <c r="C12" s="221"/>
      <c r="D12" s="221"/>
      <c r="E12" s="221"/>
      <c r="F12" s="174" t="s">
        <v>45</v>
      </c>
      <c r="G12" s="174" t="s">
        <v>46</v>
      </c>
      <c r="H12" s="174" t="s">
        <v>47</v>
      </c>
      <c r="I12" s="222"/>
      <c r="J12" s="225"/>
      <c r="K12" s="225"/>
      <c r="L12" s="131"/>
      <c r="M12" s="131"/>
      <c r="N12" s="173"/>
      <c r="O12" s="173"/>
      <c r="P12" s="173"/>
      <c r="Q12" s="173"/>
      <c r="R12" s="173"/>
    </row>
    <row r="13" spans="1:18" ht="14.4" customHeight="1" thickBot="1" x14ac:dyDescent="0.3">
      <c r="A13" s="131"/>
      <c r="B13" s="263" t="s">
        <v>5</v>
      </c>
      <c r="C13" s="242"/>
      <c r="D13" s="242"/>
      <c r="E13" s="242"/>
      <c r="F13" s="218"/>
      <c r="G13" s="218"/>
      <c r="H13" s="242"/>
      <c r="I13" s="218"/>
      <c r="J13" s="242"/>
      <c r="K13" s="243"/>
      <c r="L13" s="131"/>
      <c r="M13" s="131"/>
      <c r="N13" s="267"/>
      <c r="O13" s="213"/>
      <c r="P13" s="213"/>
      <c r="Q13" s="213"/>
      <c r="R13" s="173"/>
    </row>
    <row r="14" spans="1:18" ht="15" customHeight="1" x14ac:dyDescent="0.25">
      <c r="A14" s="131"/>
      <c r="B14" s="175">
        <v>1</v>
      </c>
      <c r="C14" s="260" t="str">
        <f>IF('INPUT DATA'!K11="","",'INPUT DATA'!K11)</f>
        <v/>
      </c>
      <c r="D14" s="246"/>
      <c r="E14" s="246"/>
      <c r="F14" s="105" t="str">
        <f>IF('TERM 1'!AC18="","",'TERM 1'!AC18)</f>
        <v/>
      </c>
      <c r="G14" s="106" t="str">
        <f>IF('TERM 2'!AC18="","",'TERM 2'!AC18)</f>
        <v/>
      </c>
      <c r="H14" s="107" t="str">
        <f>IF('TERM 3'!AC18="","",'TERM 3'!AC18)</f>
        <v/>
      </c>
      <c r="I14" s="108" t="str">
        <f>IF(COUNT(F14,G14,H14)&lt;3,"",ROUND(AVERAGE(F14,G14,H14),0))</f>
        <v/>
      </c>
      <c r="J14" s="109" t="str">
        <f>IF(I14="","",IFERROR(INDEX(HELPER!$G$8:$G$48,MATCH(I14,HELPER!$F$8:$F$48,-1)),""))</f>
        <v/>
      </c>
      <c r="K14" s="176"/>
      <c r="L14" s="131"/>
      <c r="M14" s="131"/>
      <c r="N14" s="177"/>
      <c r="O14" s="178"/>
      <c r="P14" s="178"/>
      <c r="Q14" s="178"/>
      <c r="R14" s="173"/>
    </row>
    <row r="15" spans="1:18" ht="15" customHeight="1" x14ac:dyDescent="0.25">
      <c r="A15" s="131"/>
      <c r="B15" s="155">
        <v>2</v>
      </c>
      <c r="C15" s="260" t="str">
        <f>IF('INPUT DATA'!K12="","",'INPUT DATA'!K12)</f>
        <v/>
      </c>
      <c r="D15" s="246"/>
      <c r="E15" s="246"/>
      <c r="F15" s="110" t="str">
        <f>IF('TERM 1'!AC19="","",'TERM 1'!AC19)</f>
        <v/>
      </c>
      <c r="G15" s="111" t="str">
        <f>IF('TERM 2'!AC19="","",'TERM 2'!AC19)</f>
        <v/>
      </c>
      <c r="H15" s="112" t="str">
        <f>IF('TERM 3'!AC19="","",'TERM 3'!AC19)</f>
        <v/>
      </c>
      <c r="I15" s="113" t="str">
        <f t="shared" ref="I15:I78" si="0">IF(COUNT(F15,G15,H15)&lt;3,"",ROUND(AVERAGE(F15,G15,H15),0))</f>
        <v/>
      </c>
      <c r="J15" s="114" t="str">
        <f>IF(I15="","",IFERROR(INDEX(HELPER!$G$8:$G$48,MATCH(I15,HELPER!$F$8:$F$48,-1)),""))</f>
        <v/>
      </c>
      <c r="K15" s="179"/>
      <c r="L15" s="131"/>
      <c r="M15" s="131"/>
      <c r="N15" s="180"/>
      <c r="O15" s="173"/>
      <c r="P15" s="173"/>
      <c r="Q15" s="173"/>
      <c r="R15" s="173"/>
    </row>
    <row r="16" spans="1:18" ht="15" customHeight="1" x14ac:dyDescent="0.25">
      <c r="A16" s="131"/>
      <c r="B16" s="155">
        <v>3</v>
      </c>
      <c r="C16" s="260" t="str">
        <f>IF('INPUT DATA'!K13="","",'INPUT DATA'!K13)</f>
        <v/>
      </c>
      <c r="D16" s="246"/>
      <c r="E16" s="246"/>
      <c r="F16" s="110" t="str">
        <f>IF('TERM 1'!AC20="","",'TERM 1'!AC20)</f>
        <v/>
      </c>
      <c r="G16" s="111" t="str">
        <f>IF('TERM 2'!AC20="","",'TERM 2'!AC20)</f>
        <v/>
      </c>
      <c r="H16" s="112" t="str">
        <f>IF('TERM 3'!AC20="","",'TERM 3'!AC20)</f>
        <v/>
      </c>
      <c r="I16" s="115" t="str">
        <f t="shared" si="0"/>
        <v/>
      </c>
      <c r="J16" s="114" t="str">
        <f>IF(I16="","",IFERROR(INDEX(HELPER!$G$8:$G$48,MATCH(I16,HELPER!$F$8:$F$48,-1)),""))</f>
        <v/>
      </c>
      <c r="K16" s="179"/>
      <c r="L16" s="131"/>
      <c r="M16" s="131"/>
      <c r="N16" s="180"/>
      <c r="O16" s="173"/>
      <c r="P16" s="173"/>
      <c r="Q16" s="173"/>
      <c r="R16" s="173"/>
    </row>
    <row r="17" spans="1:18" ht="15" customHeight="1" x14ac:dyDescent="0.25">
      <c r="A17" s="131"/>
      <c r="B17" s="155">
        <v>4</v>
      </c>
      <c r="C17" s="260" t="str">
        <f>IF('INPUT DATA'!K14="","",'INPUT DATA'!K14)</f>
        <v/>
      </c>
      <c r="D17" s="246"/>
      <c r="E17" s="246"/>
      <c r="F17" s="110" t="str">
        <f>IF('TERM 1'!AC21="","",'TERM 1'!AC21)</f>
        <v/>
      </c>
      <c r="G17" s="111" t="str">
        <f>IF('TERM 2'!AC21="","",'TERM 2'!AC21)</f>
        <v/>
      </c>
      <c r="H17" s="112" t="str">
        <f>IF('TERM 3'!AC21="","",'TERM 3'!AC21)</f>
        <v/>
      </c>
      <c r="I17" s="115" t="str">
        <f t="shared" si="0"/>
        <v/>
      </c>
      <c r="J17" s="114" t="str">
        <f>IF(I17="","",IFERROR(INDEX(HELPER!$G$8:$G$48,MATCH(I17,HELPER!$F$8:$F$48,-1)),""))</f>
        <v/>
      </c>
      <c r="K17" s="179"/>
      <c r="L17" s="131"/>
      <c r="M17" s="131"/>
      <c r="N17" s="180"/>
      <c r="O17" s="173"/>
      <c r="P17" s="173"/>
      <c r="Q17" s="173"/>
      <c r="R17" s="173"/>
    </row>
    <row r="18" spans="1:18" ht="15" customHeight="1" x14ac:dyDescent="0.25">
      <c r="A18" s="131"/>
      <c r="B18" s="155">
        <v>5</v>
      </c>
      <c r="C18" s="260" t="str">
        <f>IF('INPUT DATA'!K15="","",'INPUT DATA'!K15)</f>
        <v/>
      </c>
      <c r="D18" s="246"/>
      <c r="E18" s="246"/>
      <c r="F18" s="110" t="str">
        <f>IF('TERM 1'!AC22="","",'TERM 1'!AC22)</f>
        <v/>
      </c>
      <c r="G18" s="111" t="str">
        <f>IF('TERM 2'!AC22="","",'TERM 2'!AC22)</f>
        <v/>
      </c>
      <c r="H18" s="112" t="str">
        <f>IF('TERM 3'!AC22="","",'TERM 3'!AC22)</f>
        <v/>
      </c>
      <c r="I18" s="115" t="str">
        <f t="shared" si="0"/>
        <v/>
      </c>
      <c r="J18" s="114" t="str">
        <f>IF(I18="","",IFERROR(INDEX(HELPER!$G$8:$G$48,MATCH(I18,HELPER!$F$8:$F$48,-1)),""))</f>
        <v/>
      </c>
      <c r="K18" s="179"/>
      <c r="L18" s="131"/>
      <c r="M18" s="131"/>
      <c r="N18" s="180"/>
      <c r="O18" s="173"/>
      <c r="P18" s="173"/>
      <c r="Q18" s="173"/>
      <c r="R18" s="173"/>
    </row>
    <row r="19" spans="1:18" ht="15" customHeight="1" x14ac:dyDescent="0.25">
      <c r="A19" s="131"/>
      <c r="B19" s="155">
        <v>6</v>
      </c>
      <c r="C19" s="260" t="str">
        <f>IF('INPUT DATA'!K16="","",'INPUT DATA'!K16)</f>
        <v/>
      </c>
      <c r="D19" s="246"/>
      <c r="E19" s="246"/>
      <c r="F19" s="110" t="str">
        <f>IF('TERM 1'!AC23="","",'TERM 1'!AC23)</f>
        <v/>
      </c>
      <c r="G19" s="111" t="str">
        <f>IF('TERM 2'!AC23="","",'TERM 2'!AC23)</f>
        <v/>
      </c>
      <c r="H19" s="112" t="str">
        <f>IF('TERM 3'!AC23="","",'TERM 3'!AC23)</f>
        <v/>
      </c>
      <c r="I19" s="115" t="str">
        <f t="shared" si="0"/>
        <v/>
      </c>
      <c r="J19" s="114" t="str">
        <f>IF(I19="","",IFERROR(INDEX(HELPER!$G$8:$G$48,MATCH(I19,HELPER!$F$8:$F$48,-1)),""))</f>
        <v/>
      </c>
      <c r="K19" s="179"/>
      <c r="L19" s="131"/>
      <c r="M19" s="131"/>
      <c r="N19" s="180"/>
      <c r="O19" s="173"/>
      <c r="P19" s="173"/>
      <c r="Q19" s="173"/>
      <c r="R19" s="173"/>
    </row>
    <row r="20" spans="1:18" ht="15" customHeight="1" x14ac:dyDescent="0.25">
      <c r="A20" s="131"/>
      <c r="B20" s="155">
        <v>7</v>
      </c>
      <c r="C20" s="260" t="str">
        <f>IF('INPUT DATA'!K17="","",'INPUT DATA'!K17)</f>
        <v/>
      </c>
      <c r="D20" s="246"/>
      <c r="E20" s="246"/>
      <c r="F20" s="110" t="str">
        <f>IF('TERM 1'!AC24="","",'TERM 1'!AC24)</f>
        <v/>
      </c>
      <c r="G20" s="111" t="str">
        <f>IF('TERM 2'!AC24="","",'TERM 2'!AC24)</f>
        <v/>
      </c>
      <c r="H20" s="112" t="str">
        <f>IF('TERM 3'!AC24="","",'TERM 3'!AC24)</f>
        <v/>
      </c>
      <c r="I20" s="115" t="str">
        <f t="shared" si="0"/>
        <v/>
      </c>
      <c r="J20" s="114" t="str">
        <f>IF(I20="","",IFERROR(INDEX(HELPER!$G$8:$G$48,MATCH(I20,HELPER!$F$8:$F$48,-1)),""))</f>
        <v/>
      </c>
      <c r="K20" s="179"/>
      <c r="L20" s="131"/>
      <c r="M20" s="131"/>
      <c r="N20" s="173"/>
      <c r="O20" s="173"/>
      <c r="P20" s="173"/>
      <c r="Q20" s="173"/>
      <c r="R20" s="173"/>
    </row>
    <row r="21" spans="1:18" ht="15" customHeight="1" x14ac:dyDescent="0.25">
      <c r="A21" s="131"/>
      <c r="B21" s="155">
        <v>8</v>
      </c>
      <c r="C21" s="260" t="str">
        <f>IF('INPUT DATA'!K18="","",'INPUT DATA'!K18)</f>
        <v/>
      </c>
      <c r="D21" s="246"/>
      <c r="E21" s="246"/>
      <c r="F21" s="110" t="str">
        <f>IF('TERM 1'!AC25="","",'TERM 1'!AC25)</f>
        <v/>
      </c>
      <c r="G21" s="111" t="str">
        <f>IF('TERM 2'!AC25="","",'TERM 2'!AC25)</f>
        <v/>
      </c>
      <c r="H21" s="112" t="str">
        <f>IF('TERM 3'!AC25="","",'TERM 3'!AC25)</f>
        <v/>
      </c>
      <c r="I21" s="115" t="str">
        <f t="shared" si="0"/>
        <v/>
      </c>
      <c r="J21" s="114" t="str">
        <f>IF(I21="","",IFERROR(INDEX(HELPER!$G$8:$G$48,MATCH(I21,HELPER!$F$8:$F$48,-1)),""))</f>
        <v/>
      </c>
      <c r="K21" s="179"/>
      <c r="L21" s="131"/>
      <c r="M21" s="131"/>
      <c r="N21" s="173"/>
      <c r="O21" s="173"/>
      <c r="P21" s="173"/>
      <c r="Q21" s="173"/>
      <c r="R21" s="173"/>
    </row>
    <row r="22" spans="1:18" ht="15" customHeight="1" x14ac:dyDescent="0.25">
      <c r="A22" s="131"/>
      <c r="B22" s="155">
        <v>9</v>
      </c>
      <c r="C22" s="260" t="str">
        <f>IF('INPUT DATA'!K19="","",'INPUT DATA'!K19)</f>
        <v/>
      </c>
      <c r="D22" s="246"/>
      <c r="E22" s="246"/>
      <c r="F22" s="110" t="str">
        <f>IF('TERM 1'!AC26="","",'TERM 1'!AC26)</f>
        <v/>
      </c>
      <c r="G22" s="111" t="str">
        <f>IF('TERM 2'!AC26="","",'TERM 2'!AC26)</f>
        <v/>
      </c>
      <c r="H22" s="112" t="str">
        <f>IF('TERM 3'!AC26="","",'TERM 3'!AC26)</f>
        <v/>
      </c>
      <c r="I22" s="115" t="str">
        <f t="shared" si="0"/>
        <v/>
      </c>
      <c r="J22" s="114" t="str">
        <f>IF(I22="","",IFERROR(INDEX(HELPER!$G$8:$G$48,MATCH(I22,HELPER!$F$8:$F$48,-1)),""))</f>
        <v/>
      </c>
      <c r="K22" s="179"/>
      <c r="L22" s="131"/>
      <c r="M22" s="131"/>
      <c r="N22" s="173"/>
      <c r="O22" s="173"/>
      <c r="P22" s="173"/>
      <c r="Q22" s="173"/>
      <c r="R22" s="173"/>
    </row>
    <row r="23" spans="1:18" ht="15" customHeight="1" x14ac:dyDescent="0.25">
      <c r="A23" s="131"/>
      <c r="B23" s="155">
        <v>10</v>
      </c>
      <c r="C23" s="260" t="str">
        <f>IF('INPUT DATA'!K20="","",'INPUT DATA'!K20)</f>
        <v/>
      </c>
      <c r="D23" s="246"/>
      <c r="E23" s="246"/>
      <c r="F23" s="110" t="str">
        <f>IF('TERM 1'!AC27="","",'TERM 1'!AC27)</f>
        <v/>
      </c>
      <c r="G23" s="111" t="str">
        <f>IF('TERM 2'!AC27="","",'TERM 2'!AC27)</f>
        <v/>
      </c>
      <c r="H23" s="112" t="str">
        <f>IF('TERM 3'!AC27="","",'TERM 3'!AC27)</f>
        <v/>
      </c>
      <c r="I23" s="115" t="str">
        <f t="shared" si="0"/>
        <v/>
      </c>
      <c r="J23" s="114" t="str">
        <f>IF(I23="","",IFERROR(INDEX(HELPER!$G$8:$G$48,MATCH(I23,HELPER!$F$8:$F$48,-1)),""))</f>
        <v/>
      </c>
      <c r="K23" s="179"/>
      <c r="L23" s="131"/>
      <c r="M23" s="131"/>
    </row>
    <row r="24" spans="1:18" ht="15" customHeight="1" x14ac:dyDescent="0.25">
      <c r="A24" s="131"/>
      <c r="B24" s="155">
        <v>11</v>
      </c>
      <c r="C24" s="260" t="str">
        <f>IF('INPUT DATA'!K21="","",'INPUT DATA'!K21)</f>
        <v/>
      </c>
      <c r="D24" s="246"/>
      <c r="E24" s="246"/>
      <c r="F24" s="110" t="str">
        <f>IF('TERM 1'!AC28="","",'TERM 1'!AC28)</f>
        <v/>
      </c>
      <c r="G24" s="111" t="str">
        <f>IF('TERM 2'!AC28="","",'TERM 2'!AC28)</f>
        <v/>
      </c>
      <c r="H24" s="112" t="str">
        <f>IF('TERM 3'!AC28="","",'TERM 3'!AC28)</f>
        <v/>
      </c>
      <c r="I24" s="115" t="str">
        <f t="shared" si="0"/>
        <v/>
      </c>
      <c r="J24" s="114" t="str">
        <f>IF(I24="","",IFERROR(INDEX(HELPER!$G$8:$G$48,MATCH(I24,HELPER!$F$8:$F$48,-1)),""))</f>
        <v/>
      </c>
      <c r="K24" s="179"/>
      <c r="L24" s="131"/>
      <c r="M24" s="131"/>
    </row>
    <row r="25" spans="1:18" ht="15" customHeight="1" x14ac:dyDescent="0.25">
      <c r="A25" s="131"/>
      <c r="B25" s="155">
        <v>12</v>
      </c>
      <c r="C25" s="260" t="str">
        <f>IF('INPUT DATA'!K22="","",'INPUT DATA'!K22)</f>
        <v/>
      </c>
      <c r="D25" s="246"/>
      <c r="E25" s="246"/>
      <c r="F25" s="110" t="str">
        <f>IF('TERM 1'!AC29="","",'TERM 1'!AC29)</f>
        <v/>
      </c>
      <c r="G25" s="111" t="str">
        <f>IF('TERM 2'!AC29="","",'TERM 2'!AC29)</f>
        <v/>
      </c>
      <c r="H25" s="112" t="str">
        <f>IF('TERM 3'!AC29="","",'TERM 3'!AC29)</f>
        <v/>
      </c>
      <c r="I25" s="115" t="str">
        <f t="shared" si="0"/>
        <v/>
      </c>
      <c r="J25" s="114" t="str">
        <f>IF(I25="","",IFERROR(INDEX(HELPER!$G$8:$G$48,MATCH(I25,HELPER!$F$8:$F$48,-1)),""))</f>
        <v/>
      </c>
      <c r="K25" s="179"/>
      <c r="L25" s="131"/>
      <c r="M25" s="131"/>
    </row>
    <row r="26" spans="1:18" ht="15" customHeight="1" x14ac:dyDescent="0.25">
      <c r="A26" s="131"/>
      <c r="B26" s="155">
        <v>13</v>
      </c>
      <c r="C26" s="260" t="str">
        <f>IF('INPUT DATA'!K23="","",'INPUT DATA'!K23)</f>
        <v/>
      </c>
      <c r="D26" s="246"/>
      <c r="E26" s="246"/>
      <c r="F26" s="110" t="str">
        <f>IF('TERM 1'!AC30="","",'TERM 1'!AC30)</f>
        <v/>
      </c>
      <c r="G26" s="111" t="str">
        <f>IF('TERM 2'!AC30="","",'TERM 2'!AC30)</f>
        <v/>
      </c>
      <c r="H26" s="112" t="str">
        <f>IF('TERM 3'!AC30="","",'TERM 3'!AC30)</f>
        <v/>
      </c>
      <c r="I26" s="115" t="str">
        <f t="shared" si="0"/>
        <v/>
      </c>
      <c r="J26" s="114" t="str">
        <f>IF(I26="","",IFERROR(INDEX(HELPER!$G$8:$G$48,MATCH(I26,HELPER!$F$8:$F$48,-1)),""))</f>
        <v/>
      </c>
      <c r="K26" s="179"/>
      <c r="L26" s="131"/>
      <c r="M26" s="131"/>
    </row>
    <row r="27" spans="1:18" ht="15" customHeight="1" x14ac:dyDescent="0.25">
      <c r="A27" s="131"/>
      <c r="B27" s="155">
        <v>14</v>
      </c>
      <c r="C27" s="260" t="str">
        <f>IF('INPUT DATA'!K24="","",'INPUT DATA'!K24)</f>
        <v/>
      </c>
      <c r="D27" s="246"/>
      <c r="E27" s="246"/>
      <c r="F27" s="110" t="str">
        <f>IF('TERM 1'!AC31="","",'TERM 1'!AC31)</f>
        <v/>
      </c>
      <c r="G27" s="111" t="str">
        <f>IF('TERM 2'!AC31="","",'TERM 2'!AC31)</f>
        <v/>
      </c>
      <c r="H27" s="112" t="str">
        <f>IF('TERM 3'!AC31="","",'TERM 3'!AC31)</f>
        <v/>
      </c>
      <c r="I27" s="115" t="str">
        <f t="shared" si="0"/>
        <v/>
      </c>
      <c r="J27" s="114" t="str">
        <f>IF(I27="","",IFERROR(INDEX(HELPER!$G$8:$G$48,MATCH(I27,HELPER!$F$8:$F$48,-1)),""))</f>
        <v/>
      </c>
      <c r="K27" s="179"/>
      <c r="L27" s="131"/>
      <c r="M27" s="131"/>
    </row>
    <row r="28" spans="1:18" ht="15" customHeight="1" x14ac:dyDescent="0.25">
      <c r="A28" s="131"/>
      <c r="B28" s="155">
        <v>15</v>
      </c>
      <c r="C28" s="260" t="str">
        <f>IF('INPUT DATA'!K25="","",'INPUT DATA'!K25)</f>
        <v/>
      </c>
      <c r="D28" s="246"/>
      <c r="E28" s="246"/>
      <c r="F28" s="110" t="str">
        <f>IF('TERM 1'!AC32="","",'TERM 1'!AC32)</f>
        <v/>
      </c>
      <c r="G28" s="111" t="str">
        <f>IF('TERM 2'!AC32="","",'TERM 2'!AC32)</f>
        <v/>
      </c>
      <c r="H28" s="112" t="str">
        <f>IF('TERM 3'!AC32="","",'TERM 3'!AC32)</f>
        <v/>
      </c>
      <c r="I28" s="115" t="str">
        <f t="shared" si="0"/>
        <v/>
      </c>
      <c r="J28" s="114" t="str">
        <f>IF(I28="","",IFERROR(INDEX(HELPER!$G$8:$G$48,MATCH(I28,HELPER!$F$8:$F$48,-1)),""))</f>
        <v/>
      </c>
      <c r="K28" s="179"/>
      <c r="L28" s="131"/>
      <c r="M28" s="131"/>
    </row>
    <row r="29" spans="1:18" ht="15" customHeight="1" x14ac:dyDescent="0.25">
      <c r="A29" s="131"/>
      <c r="B29" s="155">
        <v>16</v>
      </c>
      <c r="C29" s="260" t="str">
        <f>IF('INPUT DATA'!K26="","",'INPUT DATA'!K26)</f>
        <v/>
      </c>
      <c r="D29" s="246"/>
      <c r="E29" s="246"/>
      <c r="F29" s="110" t="str">
        <f>IF('TERM 1'!AC33="","",'TERM 1'!AC33)</f>
        <v/>
      </c>
      <c r="G29" s="111" t="str">
        <f>IF('TERM 2'!AC33="","",'TERM 2'!AC33)</f>
        <v/>
      </c>
      <c r="H29" s="112" t="str">
        <f>IF('TERM 3'!AC33="","",'TERM 3'!AC33)</f>
        <v/>
      </c>
      <c r="I29" s="115" t="str">
        <f t="shared" si="0"/>
        <v/>
      </c>
      <c r="J29" s="114" t="str">
        <f>IF(I29="","",IFERROR(INDEX(HELPER!$G$8:$G$48,MATCH(I29,HELPER!$F$8:$F$48,-1)),""))</f>
        <v/>
      </c>
      <c r="K29" s="179"/>
      <c r="L29" s="131"/>
      <c r="M29" s="131"/>
    </row>
    <row r="30" spans="1:18" ht="15" customHeight="1" x14ac:dyDescent="0.25">
      <c r="A30" s="131"/>
      <c r="B30" s="155">
        <v>17</v>
      </c>
      <c r="C30" s="260" t="str">
        <f>IF('INPUT DATA'!K27="","",'INPUT DATA'!K27)</f>
        <v/>
      </c>
      <c r="D30" s="246"/>
      <c r="E30" s="246"/>
      <c r="F30" s="110" t="str">
        <f>IF('TERM 1'!AC34="","",'TERM 1'!AC34)</f>
        <v/>
      </c>
      <c r="G30" s="111" t="str">
        <f>IF('TERM 2'!AC34="","",'TERM 2'!AC34)</f>
        <v/>
      </c>
      <c r="H30" s="112" t="str">
        <f>IF('TERM 3'!AC34="","",'TERM 3'!AC34)</f>
        <v/>
      </c>
      <c r="I30" s="115" t="str">
        <f t="shared" si="0"/>
        <v/>
      </c>
      <c r="J30" s="114" t="str">
        <f>IF(I30="","",IFERROR(INDEX(HELPER!$G$8:$G$48,MATCH(I30,HELPER!$F$8:$F$48,-1)),""))</f>
        <v/>
      </c>
      <c r="K30" s="179"/>
      <c r="L30" s="131"/>
      <c r="M30" s="131"/>
    </row>
    <row r="31" spans="1:18" ht="15" customHeight="1" x14ac:dyDescent="0.25">
      <c r="A31" s="131"/>
      <c r="B31" s="155">
        <v>18</v>
      </c>
      <c r="C31" s="260" t="str">
        <f>IF('INPUT DATA'!K28="","",'INPUT DATA'!K28)</f>
        <v/>
      </c>
      <c r="D31" s="246"/>
      <c r="E31" s="246"/>
      <c r="F31" s="110" t="str">
        <f>IF('TERM 1'!AC35="","",'TERM 1'!AC35)</f>
        <v/>
      </c>
      <c r="G31" s="111" t="str">
        <f>IF('TERM 2'!AC35="","",'TERM 2'!AC35)</f>
        <v/>
      </c>
      <c r="H31" s="112" t="str">
        <f>IF('TERM 3'!AC35="","",'TERM 3'!AC35)</f>
        <v/>
      </c>
      <c r="I31" s="115" t="str">
        <f t="shared" si="0"/>
        <v/>
      </c>
      <c r="J31" s="114" t="str">
        <f>IF(I31="","",IFERROR(INDEX(HELPER!$G$8:$G$48,MATCH(I31,HELPER!$F$8:$F$48,-1)),""))</f>
        <v/>
      </c>
      <c r="K31" s="179"/>
      <c r="L31" s="131"/>
      <c r="M31" s="131"/>
    </row>
    <row r="32" spans="1:18" ht="15" customHeight="1" x14ac:dyDescent="0.25">
      <c r="A32" s="131"/>
      <c r="B32" s="155">
        <v>19</v>
      </c>
      <c r="C32" s="260" t="str">
        <f>IF('INPUT DATA'!K29="","",'INPUT DATA'!K29)</f>
        <v/>
      </c>
      <c r="D32" s="246"/>
      <c r="E32" s="246"/>
      <c r="F32" s="110" t="str">
        <f>IF('TERM 1'!AC36="","",'TERM 1'!AC36)</f>
        <v/>
      </c>
      <c r="G32" s="111" t="str">
        <f>IF('TERM 2'!AC36="","",'TERM 2'!AC36)</f>
        <v/>
      </c>
      <c r="H32" s="112" t="str">
        <f>IF('TERM 3'!AC36="","",'TERM 3'!AC36)</f>
        <v/>
      </c>
      <c r="I32" s="115" t="str">
        <f t="shared" si="0"/>
        <v/>
      </c>
      <c r="J32" s="114" t="str">
        <f>IF(I32="","",IFERROR(INDEX(HELPER!$G$8:$G$48,MATCH(I32,HELPER!$F$8:$F$48,-1)),""))</f>
        <v/>
      </c>
      <c r="K32" s="179"/>
      <c r="L32" s="131"/>
      <c r="M32" s="131"/>
    </row>
    <row r="33" spans="1:13" ht="15" customHeight="1" x14ac:dyDescent="0.25">
      <c r="A33" s="131"/>
      <c r="B33" s="159">
        <v>20</v>
      </c>
      <c r="C33" s="260" t="str">
        <f>IF('INPUT DATA'!K30="","",'INPUT DATA'!K30)</f>
        <v/>
      </c>
      <c r="D33" s="246"/>
      <c r="E33" s="246"/>
      <c r="F33" s="110" t="str">
        <f>IF('TERM 1'!AC37="","",'TERM 1'!AC37)</f>
        <v/>
      </c>
      <c r="G33" s="111" t="str">
        <f>IF('TERM 2'!AC37="","",'TERM 2'!AC37)</f>
        <v/>
      </c>
      <c r="H33" s="112" t="str">
        <f>IF('TERM 3'!AC37="","",'TERM 3'!AC37)</f>
        <v/>
      </c>
      <c r="I33" s="115" t="str">
        <f t="shared" si="0"/>
        <v/>
      </c>
      <c r="J33" s="114" t="str">
        <f>IF(I33="","",IFERROR(INDEX(HELPER!$G$8:$G$48,MATCH(I33,HELPER!$F$8:$F$48,-1)),""))</f>
        <v/>
      </c>
      <c r="K33" s="179"/>
      <c r="L33" s="131"/>
      <c r="M33" s="131"/>
    </row>
    <row r="34" spans="1:13" ht="15" customHeight="1" x14ac:dyDescent="0.25">
      <c r="A34" s="131"/>
      <c r="B34" s="159">
        <v>21</v>
      </c>
      <c r="C34" s="260" t="str">
        <f>IF('INPUT DATA'!K31="","",'INPUT DATA'!K31)</f>
        <v/>
      </c>
      <c r="D34" s="246"/>
      <c r="E34" s="246"/>
      <c r="F34" s="110" t="str">
        <f>IF('TERM 1'!AC38="","",'TERM 1'!AC38)</f>
        <v/>
      </c>
      <c r="G34" s="111" t="str">
        <f>IF('TERM 2'!AC38="","",'TERM 2'!AC38)</f>
        <v/>
      </c>
      <c r="H34" s="112" t="str">
        <f>IF('TERM 3'!AC38="","",'TERM 3'!AC38)</f>
        <v/>
      </c>
      <c r="I34" s="115" t="str">
        <f t="shared" si="0"/>
        <v/>
      </c>
      <c r="J34" s="114" t="str">
        <f>IF(I34="","",IFERROR(INDEX(HELPER!$G$8:$G$48,MATCH(I34,HELPER!$F$8:$F$48,-1)),""))</f>
        <v/>
      </c>
      <c r="K34" s="179"/>
      <c r="L34" s="131"/>
      <c r="M34" s="131"/>
    </row>
    <row r="35" spans="1:13" ht="15" customHeight="1" x14ac:dyDescent="0.25">
      <c r="A35" s="131"/>
      <c r="B35" s="159">
        <v>22</v>
      </c>
      <c r="C35" s="260" t="str">
        <f>IF('INPUT DATA'!K32="","",'INPUT DATA'!K32)</f>
        <v/>
      </c>
      <c r="D35" s="246"/>
      <c r="E35" s="246"/>
      <c r="F35" s="110" t="str">
        <f>IF('TERM 1'!AC39="","",'TERM 1'!AC39)</f>
        <v/>
      </c>
      <c r="G35" s="111" t="str">
        <f>IF('TERM 2'!AC39="","",'TERM 2'!AC39)</f>
        <v/>
      </c>
      <c r="H35" s="112" t="str">
        <f>IF('TERM 3'!AC39="","",'TERM 3'!AC39)</f>
        <v/>
      </c>
      <c r="I35" s="115" t="str">
        <f t="shared" si="0"/>
        <v/>
      </c>
      <c r="J35" s="114" t="str">
        <f>IF(I35="","",IFERROR(INDEX(HELPER!$G$8:$G$48,MATCH(I35,HELPER!$F$8:$F$48,-1)),""))</f>
        <v/>
      </c>
      <c r="K35" s="179"/>
      <c r="L35" s="131"/>
      <c r="M35" s="131"/>
    </row>
    <row r="36" spans="1:13" ht="15" customHeight="1" x14ac:dyDescent="0.25">
      <c r="A36" s="131"/>
      <c r="B36" s="159">
        <v>23</v>
      </c>
      <c r="C36" s="260" t="str">
        <f>IF('INPUT DATA'!K33="","",'INPUT DATA'!K33)</f>
        <v/>
      </c>
      <c r="D36" s="246"/>
      <c r="E36" s="246"/>
      <c r="F36" s="110" t="str">
        <f>IF('TERM 1'!AC40="","",'TERM 1'!AC40)</f>
        <v/>
      </c>
      <c r="G36" s="111" t="str">
        <f>IF('TERM 2'!AC40="","",'TERM 2'!AC40)</f>
        <v/>
      </c>
      <c r="H36" s="112" t="str">
        <f>IF('TERM 3'!AC40="","",'TERM 3'!AC40)</f>
        <v/>
      </c>
      <c r="I36" s="115" t="str">
        <f t="shared" si="0"/>
        <v/>
      </c>
      <c r="J36" s="114" t="str">
        <f>IF(I36="","",IFERROR(INDEX(HELPER!$G$8:$G$48,MATCH(I36,HELPER!$F$8:$F$48,-1)),""))</f>
        <v/>
      </c>
      <c r="K36" s="179"/>
      <c r="L36" s="131"/>
      <c r="M36" s="131"/>
    </row>
    <row r="37" spans="1:13" ht="15" customHeight="1" x14ac:dyDescent="0.25">
      <c r="A37" s="131"/>
      <c r="B37" s="159">
        <v>24</v>
      </c>
      <c r="C37" s="260" t="str">
        <f>IF('INPUT DATA'!K34="","",'INPUT DATA'!K34)</f>
        <v/>
      </c>
      <c r="D37" s="246"/>
      <c r="E37" s="246"/>
      <c r="F37" s="110" t="str">
        <f>IF('TERM 1'!AC41="","",'TERM 1'!AC41)</f>
        <v/>
      </c>
      <c r="G37" s="111" t="str">
        <f>IF('TERM 2'!AC41="","",'TERM 2'!AC41)</f>
        <v/>
      </c>
      <c r="H37" s="112" t="str">
        <f>IF('TERM 3'!AC41="","",'TERM 3'!AC41)</f>
        <v/>
      </c>
      <c r="I37" s="115" t="str">
        <f t="shared" si="0"/>
        <v/>
      </c>
      <c r="J37" s="114" t="str">
        <f>IF(I37="","",IFERROR(INDEX(HELPER!$G$8:$G$48,MATCH(I37,HELPER!$F$8:$F$48,-1)),""))</f>
        <v/>
      </c>
      <c r="K37" s="179"/>
      <c r="L37" s="131"/>
      <c r="M37" s="131"/>
    </row>
    <row r="38" spans="1:13" ht="15" customHeight="1" x14ac:dyDescent="0.25">
      <c r="A38" s="131"/>
      <c r="B38" s="159">
        <v>25</v>
      </c>
      <c r="C38" s="260" t="str">
        <f>IF('INPUT DATA'!K35="","",'INPUT DATA'!K35)</f>
        <v/>
      </c>
      <c r="D38" s="246"/>
      <c r="E38" s="246"/>
      <c r="F38" s="110" t="str">
        <f>IF('TERM 1'!AC42="","",'TERM 1'!AC42)</f>
        <v/>
      </c>
      <c r="G38" s="111" t="str">
        <f>IF('TERM 2'!AC42="","",'TERM 2'!AC42)</f>
        <v/>
      </c>
      <c r="H38" s="112" t="str">
        <f>IF('TERM 3'!AC42="","",'TERM 3'!AC42)</f>
        <v/>
      </c>
      <c r="I38" s="115" t="str">
        <f t="shared" si="0"/>
        <v/>
      </c>
      <c r="J38" s="114" t="str">
        <f>IF(I38="","",IFERROR(INDEX(HELPER!$G$8:$G$48,MATCH(I38,HELPER!$F$8:$F$48,-1)),""))</f>
        <v/>
      </c>
      <c r="K38" s="179"/>
      <c r="L38" s="131"/>
      <c r="M38" s="131"/>
    </row>
    <row r="39" spans="1:13" ht="15" customHeight="1" x14ac:dyDescent="0.25">
      <c r="A39" s="131"/>
      <c r="B39" s="159">
        <v>26</v>
      </c>
      <c r="C39" s="260" t="str">
        <f>IF('INPUT DATA'!K36="","",'INPUT DATA'!K36)</f>
        <v/>
      </c>
      <c r="D39" s="246"/>
      <c r="E39" s="246"/>
      <c r="F39" s="110" t="str">
        <f>IF('TERM 1'!AC43="","",'TERM 1'!AC43)</f>
        <v/>
      </c>
      <c r="G39" s="111" t="str">
        <f>IF('TERM 2'!AC43="","",'TERM 2'!AC43)</f>
        <v/>
      </c>
      <c r="H39" s="112" t="str">
        <f>IF('TERM 3'!AC43="","",'TERM 3'!AC43)</f>
        <v/>
      </c>
      <c r="I39" s="115" t="str">
        <f t="shared" si="0"/>
        <v/>
      </c>
      <c r="J39" s="114" t="str">
        <f>IF(I39="","",IFERROR(INDEX(HELPER!$G$8:$G$48,MATCH(I39,HELPER!$F$8:$F$48,-1)),""))</f>
        <v/>
      </c>
      <c r="K39" s="179"/>
      <c r="L39" s="131"/>
      <c r="M39" s="131"/>
    </row>
    <row r="40" spans="1:13" ht="15" customHeight="1" x14ac:dyDescent="0.25">
      <c r="A40" s="131"/>
      <c r="B40" s="159">
        <v>27</v>
      </c>
      <c r="C40" s="260" t="str">
        <f>IF('INPUT DATA'!K37="","",'INPUT DATA'!K37)</f>
        <v/>
      </c>
      <c r="D40" s="246"/>
      <c r="E40" s="246"/>
      <c r="F40" s="110" t="str">
        <f>IF('TERM 1'!AC44="","",'TERM 1'!AC44)</f>
        <v/>
      </c>
      <c r="G40" s="111" t="str">
        <f>IF('TERM 2'!AC44="","",'TERM 2'!AC44)</f>
        <v/>
      </c>
      <c r="H40" s="112" t="str">
        <f>IF('TERM 3'!AC44="","",'TERM 3'!AC44)</f>
        <v/>
      </c>
      <c r="I40" s="115" t="str">
        <f t="shared" si="0"/>
        <v/>
      </c>
      <c r="J40" s="114" t="str">
        <f>IF(I40="","",IFERROR(INDEX(HELPER!$G$8:$G$48,MATCH(I40,HELPER!$F$8:$F$48,-1)),""))</f>
        <v/>
      </c>
      <c r="K40" s="179"/>
      <c r="L40" s="131"/>
      <c r="M40" s="131"/>
    </row>
    <row r="41" spans="1:13" ht="15" customHeight="1" x14ac:dyDescent="0.25">
      <c r="A41" s="131"/>
      <c r="B41" s="159">
        <v>28</v>
      </c>
      <c r="C41" s="260" t="str">
        <f>IF('INPUT DATA'!K38="","",'INPUT DATA'!K38)</f>
        <v/>
      </c>
      <c r="D41" s="246"/>
      <c r="E41" s="246"/>
      <c r="F41" s="110" t="str">
        <f>IF('TERM 1'!AC45="","",'TERM 1'!AC45)</f>
        <v/>
      </c>
      <c r="G41" s="111" t="str">
        <f>IF('TERM 2'!AC45="","",'TERM 2'!AC45)</f>
        <v/>
      </c>
      <c r="H41" s="112" t="str">
        <f>IF('TERM 3'!AC45="","",'TERM 3'!AC45)</f>
        <v/>
      </c>
      <c r="I41" s="115" t="str">
        <f t="shared" si="0"/>
        <v/>
      </c>
      <c r="J41" s="114" t="str">
        <f>IF(I41="","",IFERROR(INDEX(HELPER!$G$8:$G$48,MATCH(I41,HELPER!$F$8:$F$48,-1)),""))</f>
        <v/>
      </c>
      <c r="K41" s="179"/>
      <c r="L41" s="131"/>
      <c r="M41" s="131"/>
    </row>
    <row r="42" spans="1:13" ht="15" customHeight="1" x14ac:dyDescent="0.25">
      <c r="A42" s="131"/>
      <c r="B42" s="159">
        <v>29</v>
      </c>
      <c r="C42" s="260" t="str">
        <f>IF('INPUT DATA'!K39="","",'INPUT DATA'!K39)</f>
        <v/>
      </c>
      <c r="D42" s="246"/>
      <c r="E42" s="246"/>
      <c r="F42" s="110" t="str">
        <f>IF('TERM 1'!AC46="","",'TERM 1'!AC46)</f>
        <v/>
      </c>
      <c r="G42" s="111" t="str">
        <f>IF('TERM 2'!AC46="","",'TERM 2'!AC46)</f>
        <v/>
      </c>
      <c r="H42" s="112" t="str">
        <f>IF('TERM 3'!AC46="","",'TERM 3'!AC46)</f>
        <v/>
      </c>
      <c r="I42" s="115" t="str">
        <f t="shared" si="0"/>
        <v/>
      </c>
      <c r="J42" s="114" t="str">
        <f>IF(I42="","",IFERROR(INDEX(HELPER!$G$8:$G$48,MATCH(I42,HELPER!$F$8:$F$48,-1)),""))</f>
        <v/>
      </c>
      <c r="K42" s="179"/>
      <c r="L42" s="131"/>
      <c r="M42" s="131"/>
    </row>
    <row r="43" spans="1:13" ht="15" customHeight="1" x14ac:dyDescent="0.25">
      <c r="A43" s="131"/>
      <c r="B43" s="159">
        <v>30</v>
      </c>
      <c r="C43" s="260" t="str">
        <f>IF('INPUT DATA'!K40="","",'INPUT DATA'!K40)</f>
        <v/>
      </c>
      <c r="D43" s="246"/>
      <c r="E43" s="246"/>
      <c r="F43" s="110" t="str">
        <f>IF('TERM 1'!AC47="","",'TERM 1'!AC47)</f>
        <v/>
      </c>
      <c r="G43" s="111" t="str">
        <f>IF('TERM 2'!AC47="","",'TERM 2'!AC47)</f>
        <v/>
      </c>
      <c r="H43" s="112" t="str">
        <f>IF('TERM 3'!AC47="","",'TERM 3'!AC47)</f>
        <v/>
      </c>
      <c r="I43" s="115" t="str">
        <f t="shared" si="0"/>
        <v/>
      </c>
      <c r="J43" s="114" t="str">
        <f>IF(I43="","",IFERROR(INDEX(HELPER!$G$8:$G$48,MATCH(I43,HELPER!$F$8:$F$48,-1)),""))</f>
        <v/>
      </c>
      <c r="K43" s="179"/>
      <c r="L43" s="131"/>
      <c r="M43" s="131"/>
    </row>
    <row r="44" spans="1:13" ht="15" customHeight="1" x14ac:dyDescent="0.25">
      <c r="A44" s="131"/>
      <c r="B44" s="159">
        <v>31</v>
      </c>
      <c r="C44" s="260" t="str">
        <f>IF('INPUT DATA'!K41="","",'INPUT DATA'!K41)</f>
        <v/>
      </c>
      <c r="D44" s="246"/>
      <c r="E44" s="246"/>
      <c r="F44" s="110" t="str">
        <f>IF('TERM 1'!AC48="","",'TERM 1'!AC48)</f>
        <v/>
      </c>
      <c r="G44" s="111" t="str">
        <f>IF('TERM 2'!AC48="","",'TERM 2'!AC48)</f>
        <v/>
      </c>
      <c r="H44" s="112" t="str">
        <f>IF('TERM 3'!AC48="","",'TERM 3'!AC48)</f>
        <v/>
      </c>
      <c r="I44" s="115" t="str">
        <f t="shared" si="0"/>
        <v/>
      </c>
      <c r="J44" s="114" t="str">
        <f>IF(I44="","",IFERROR(INDEX(HELPER!$G$8:$G$48,MATCH(I44,HELPER!$F$8:$F$48,-1)),""))</f>
        <v/>
      </c>
      <c r="K44" s="179"/>
      <c r="L44" s="131"/>
      <c r="M44" s="131"/>
    </row>
    <row r="45" spans="1:13" ht="15" customHeight="1" x14ac:dyDescent="0.25">
      <c r="A45" s="131"/>
      <c r="B45" s="159">
        <v>32</v>
      </c>
      <c r="C45" s="260" t="str">
        <f>IF('INPUT DATA'!K42="","",'INPUT DATA'!K42)</f>
        <v/>
      </c>
      <c r="D45" s="246"/>
      <c r="E45" s="246"/>
      <c r="F45" s="110" t="str">
        <f>IF('TERM 1'!AC49="","",'TERM 1'!AC49)</f>
        <v/>
      </c>
      <c r="G45" s="111" t="str">
        <f>IF('TERM 2'!AC49="","",'TERM 2'!AC49)</f>
        <v/>
      </c>
      <c r="H45" s="112" t="str">
        <f>IF('TERM 3'!AC49="","",'TERM 3'!AC49)</f>
        <v/>
      </c>
      <c r="I45" s="115" t="str">
        <f t="shared" si="0"/>
        <v/>
      </c>
      <c r="J45" s="114" t="str">
        <f>IF(I45="","",IFERROR(INDEX(HELPER!$G$8:$G$48,MATCH(I45,HELPER!$F$8:$F$48,-1)),""))</f>
        <v/>
      </c>
      <c r="K45" s="179"/>
      <c r="L45" s="131"/>
      <c r="M45" s="131"/>
    </row>
    <row r="46" spans="1:13" ht="15" customHeight="1" x14ac:dyDescent="0.25">
      <c r="A46" s="131"/>
      <c r="B46" s="159">
        <v>33</v>
      </c>
      <c r="C46" s="260" t="str">
        <f>IF('INPUT DATA'!K43="","",'INPUT DATA'!K43)</f>
        <v/>
      </c>
      <c r="D46" s="246"/>
      <c r="E46" s="246"/>
      <c r="F46" s="110" t="str">
        <f>IF('TERM 1'!AC50="","",'TERM 1'!AC50)</f>
        <v/>
      </c>
      <c r="G46" s="111" t="str">
        <f>IF('TERM 2'!AC50="","",'TERM 2'!AC50)</f>
        <v/>
      </c>
      <c r="H46" s="112" t="str">
        <f>IF('TERM 3'!AC50="","",'TERM 3'!AC50)</f>
        <v/>
      </c>
      <c r="I46" s="115" t="str">
        <f t="shared" si="0"/>
        <v/>
      </c>
      <c r="J46" s="114" t="str">
        <f>IF(I46="","",IFERROR(INDEX(HELPER!$G$8:$G$48,MATCH(I46,HELPER!$F$8:$F$48,-1)),""))</f>
        <v/>
      </c>
      <c r="K46" s="179"/>
      <c r="L46" s="131"/>
      <c r="M46" s="131"/>
    </row>
    <row r="47" spans="1:13" ht="15" customHeight="1" x14ac:dyDescent="0.25">
      <c r="A47" s="131"/>
      <c r="B47" s="159">
        <v>34</v>
      </c>
      <c r="C47" s="260" t="str">
        <f>IF('INPUT DATA'!K44="","",'INPUT DATA'!K44)</f>
        <v/>
      </c>
      <c r="D47" s="246"/>
      <c r="E47" s="246"/>
      <c r="F47" s="110" t="str">
        <f>IF('TERM 1'!AC51="","",'TERM 1'!AC51)</f>
        <v/>
      </c>
      <c r="G47" s="111" t="str">
        <f>IF('TERM 2'!AC51="","",'TERM 2'!AC51)</f>
        <v/>
      </c>
      <c r="H47" s="112" t="str">
        <f>IF('TERM 3'!AC51="","",'TERM 3'!AC51)</f>
        <v/>
      </c>
      <c r="I47" s="115" t="str">
        <f t="shared" si="0"/>
        <v/>
      </c>
      <c r="J47" s="114" t="str">
        <f>IF(I47="","",IFERROR(INDEX(HELPER!$G$8:$G$48,MATCH(I47,HELPER!$F$8:$F$48,-1)),""))</f>
        <v/>
      </c>
      <c r="K47" s="179"/>
      <c r="L47" s="131"/>
      <c r="M47" s="131"/>
    </row>
    <row r="48" spans="1:13" ht="15" customHeight="1" x14ac:dyDescent="0.25">
      <c r="A48" s="131"/>
      <c r="B48" s="159">
        <v>35</v>
      </c>
      <c r="C48" s="260" t="str">
        <f>IF('INPUT DATA'!K45="","",'INPUT DATA'!K45)</f>
        <v/>
      </c>
      <c r="D48" s="246"/>
      <c r="E48" s="246"/>
      <c r="F48" s="110" t="str">
        <f>IF('TERM 1'!AC52="","",'TERM 1'!AC52)</f>
        <v/>
      </c>
      <c r="G48" s="111" t="str">
        <f>IF('TERM 2'!AC52="","",'TERM 2'!AC52)</f>
        <v/>
      </c>
      <c r="H48" s="112" t="str">
        <f>IF('TERM 3'!AC52="","",'TERM 3'!AC52)</f>
        <v/>
      </c>
      <c r="I48" s="115" t="str">
        <f t="shared" si="0"/>
        <v/>
      </c>
      <c r="J48" s="114" t="str">
        <f>IF(I48="","",IFERROR(INDEX(HELPER!$G$8:$G$48,MATCH(I48,HELPER!$F$8:$F$48,-1)),""))</f>
        <v/>
      </c>
      <c r="K48" s="179"/>
      <c r="L48" s="131"/>
      <c r="M48" s="131"/>
    </row>
    <row r="49" spans="1:13" ht="15" customHeight="1" x14ac:dyDescent="0.25">
      <c r="A49" s="131"/>
      <c r="B49" s="159">
        <v>36</v>
      </c>
      <c r="C49" s="260" t="str">
        <f>IF('INPUT DATA'!K46="","",'INPUT DATA'!K46)</f>
        <v/>
      </c>
      <c r="D49" s="246"/>
      <c r="E49" s="246"/>
      <c r="F49" s="110" t="str">
        <f>IF('TERM 1'!AC53="","",'TERM 1'!AC53)</f>
        <v/>
      </c>
      <c r="G49" s="111" t="str">
        <f>IF('TERM 2'!AC53="","",'TERM 2'!AC53)</f>
        <v/>
      </c>
      <c r="H49" s="112" t="str">
        <f>IF('TERM 3'!AC53="","",'TERM 3'!AC53)</f>
        <v/>
      </c>
      <c r="I49" s="115" t="str">
        <f t="shared" si="0"/>
        <v/>
      </c>
      <c r="J49" s="114" t="str">
        <f>IF(I49="","",IFERROR(INDEX(HELPER!$G$8:$G$48,MATCH(I49,HELPER!$F$8:$F$48,-1)),""))</f>
        <v/>
      </c>
      <c r="K49" s="179"/>
      <c r="L49" s="131"/>
      <c r="M49" s="131"/>
    </row>
    <row r="50" spans="1:13" ht="15" customHeight="1" x14ac:dyDescent="0.25">
      <c r="A50" s="131"/>
      <c r="B50" s="159">
        <v>37</v>
      </c>
      <c r="C50" s="260" t="str">
        <f>IF('INPUT DATA'!K47="","",'INPUT DATA'!K47)</f>
        <v/>
      </c>
      <c r="D50" s="246"/>
      <c r="E50" s="246"/>
      <c r="F50" s="110" t="str">
        <f>IF('TERM 1'!AC54="","",'TERM 1'!AC54)</f>
        <v/>
      </c>
      <c r="G50" s="111" t="str">
        <f>IF('TERM 2'!AC54="","",'TERM 2'!AC54)</f>
        <v/>
      </c>
      <c r="H50" s="112" t="str">
        <f>IF('TERM 3'!AC54="","",'TERM 3'!AC54)</f>
        <v/>
      </c>
      <c r="I50" s="115" t="str">
        <f t="shared" si="0"/>
        <v/>
      </c>
      <c r="J50" s="114" t="str">
        <f>IF(I50="","",IFERROR(INDEX(HELPER!$G$8:$G$48,MATCH(I50,HELPER!$F$8:$F$48,-1)),""))</f>
        <v/>
      </c>
      <c r="K50" s="179"/>
      <c r="L50" s="131"/>
      <c r="M50" s="131"/>
    </row>
    <row r="51" spans="1:13" ht="15" customHeight="1" x14ac:dyDescent="0.25">
      <c r="A51" s="131"/>
      <c r="B51" s="159">
        <v>38</v>
      </c>
      <c r="C51" s="260" t="str">
        <f>IF('INPUT DATA'!K48="","",'INPUT DATA'!K48)</f>
        <v/>
      </c>
      <c r="D51" s="246"/>
      <c r="E51" s="246"/>
      <c r="F51" s="110" t="str">
        <f>IF('TERM 1'!AC55="","",'TERM 1'!AC55)</f>
        <v/>
      </c>
      <c r="G51" s="111" t="str">
        <f>IF('TERM 2'!AC55="","",'TERM 2'!AC55)</f>
        <v/>
      </c>
      <c r="H51" s="112" t="str">
        <f>IF('TERM 3'!AC55="","",'TERM 3'!AC55)</f>
        <v/>
      </c>
      <c r="I51" s="115" t="str">
        <f t="shared" si="0"/>
        <v/>
      </c>
      <c r="J51" s="114" t="str">
        <f>IF(I51="","",IFERROR(INDEX(HELPER!$G$8:$G$48,MATCH(I51,HELPER!$F$8:$F$48,-1)),""))</f>
        <v/>
      </c>
      <c r="K51" s="179"/>
      <c r="L51" s="131"/>
      <c r="M51" s="131"/>
    </row>
    <row r="52" spans="1:13" ht="15" customHeight="1" x14ac:dyDescent="0.25">
      <c r="A52" s="131"/>
      <c r="B52" s="159">
        <v>39</v>
      </c>
      <c r="C52" s="260" t="str">
        <f>IF('INPUT DATA'!K49="","",'INPUT DATA'!K49)</f>
        <v/>
      </c>
      <c r="D52" s="246"/>
      <c r="E52" s="246"/>
      <c r="F52" s="110" t="str">
        <f>IF('TERM 1'!AC56="","",'TERM 1'!AC56)</f>
        <v/>
      </c>
      <c r="G52" s="111" t="str">
        <f>IF('TERM 2'!AC56="","",'TERM 2'!AC56)</f>
        <v/>
      </c>
      <c r="H52" s="112" t="str">
        <f>IF('TERM 3'!AC56="","",'TERM 3'!AC56)</f>
        <v/>
      </c>
      <c r="I52" s="115" t="str">
        <f t="shared" si="0"/>
        <v/>
      </c>
      <c r="J52" s="114" t="str">
        <f>IF(I52="","",IFERROR(INDEX(HELPER!$G$8:$G$48,MATCH(I52,HELPER!$F$8:$F$48,-1)),""))</f>
        <v/>
      </c>
      <c r="K52" s="179"/>
      <c r="L52" s="131"/>
      <c r="M52" s="131"/>
    </row>
    <row r="53" spans="1:13" ht="15" customHeight="1" x14ac:dyDescent="0.25">
      <c r="A53" s="131"/>
      <c r="B53" s="159">
        <v>40</v>
      </c>
      <c r="C53" s="260" t="str">
        <f>IF('INPUT DATA'!K50="","",'INPUT DATA'!K50)</f>
        <v/>
      </c>
      <c r="D53" s="246"/>
      <c r="E53" s="246"/>
      <c r="F53" s="110" t="str">
        <f>IF('TERM 1'!AC57="","",'TERM 1'!AC57)</f>
        <v/>
      </c>
      <c r="G53" s="111" t="str">
        <f>IF('TERM 2'!AC57="","",'TERM 2'!AC57)</f>
        <v/>
      </c>
      <c r="H53" s="112" t="str">
        <f>IF('TERM 3'!AC57="","",'TERM 3'!AC57)</f>
        <v/>
      </c>
      <c r="I53" s="115" t="str">
        <f t="shared" si="0"/>
        <v/>
      </c>
      <c r="J53" s="114" t="str">
        <f>IF(I53="","",IFERROR(INDEX(HELPER!$G$8:$G$48,MATCH(I53,HELPER!$F$8:$F$48,-1)),""))</f>
        <v/>
      </c>
      <c r="K53" s="179"/>
      <c r="L53" s="131"/>
      <c r="M53" s="131"/>
    </row>
    <row r="54" spans="1:13" ht="15" customHeight="1" x14ac:dyDescent="0.25">
      <c r="A54" s="131"/>
      <c r="B54" s="159">
        <v>41</v>
      </c>
      <c r="C54" s="260" t="str">
        <f>IF('INPUT DATA'!K51="","",'INPUT DATA'!K51)</f>
        <v/>
      </c>
      <c r="D54" s="246"/>
      <c r="E54" s="246"/>
      <c r="F54" s="110" t="str">
        <f>IF('TERM 1'!AC58="","",'TERM 1'!AC58)</f>
        <v/>
      </c>
      <c r="G54" s="111" t="str">
        <f>IF('TERM 2'!AC58="","",'TERM 2'!AC58)</f>
        <v/>
      </c>
      <c r="H54" s="112" t="str">
        <f>IF('TERM 3'!AC58="","",'TERM 3'!AC58)</f>
        <v/>
      </c>
      <c r="I54" s="115" t="str">
        <f t="shared" si="0"/>
        <v/>
      </c>
      <c r="J54" s="114" t="str">
        <f>IF(I54="","",IFERROR(INDEX(HELPER!$G$8:$G$48,MATCH(I54,HELPER!$F$8:$F$48,-1)),""))</f>
        <v/>
      </c>
      <c r="K54" s="179"/>
      <c r="L54" s="131"/>
      <c r="M54" s="131"/>
    </row>
    <row r="55" spans="1:13" ht="15" customHeight="1" x14ac:dyDescent="0.25">
      <c r="A55" s="131"/>
      <c r="B55" s="159">
        <v>42</v>
      </c>
      <c r="C55" s="260" t="str">
        <f>IF('INPUT DATA'!K52="","",'INPUT DATA'!K52)</f>
        <v/>
      </c>
      <c r="D55" s="246"/>
      <c r="E55" s="246"/>
      <c r="F55" s="110" t="str">
        <f>IF('TERM 1'!AC59="","",'TERM 1'!AC59)</f>
        <v/>
      </c>
      <c r="G55" s="111" t="str">
        <f>IF('TERM 2'!AC59="","",'TERM 2'!AC59)</f>
        <v/>
      </c>
      <c r="H55" s="112" t="str">
        <f>IF('TERM 3'!AC59="","",'TERM 3'!AC59)</f>
        <v/>
      </c>
      <c r="I55" s="115" t="str">
        <f t="shared" si="0"/>
        <v/>
      </c>
      <c r="J55" s="114" t="str">
        <f>IF(I55="","",IFERROR(INDEX(HELPER!$G$8:$G$48,MATCH(I55,HELPER!$F$8:$F$48,-1)),""))</f>
        <v/>
      </c>
      <c r="K55" s="179"/>
      <c r="L55" s="131"/>
      <c r="M55" s="131"/>
    </row>
    <row r="56" spans="1:13" ht="15" customHeight="1" x14ac:dyDescent="0.25">
      <c r="A56" s="131"/>
      <c r="B56" s="159">
        <v>43</v>
      </c>
      <c r="C56" s="260" t="str">
        <f>IF('INPUT DATA'!K53="","",'INPUT DATA'!K53)</f>
        <v/>
      </c>
      <c r="D56" s="246"/>
      <c r="E56" s="246"/>
      <c r="F56" s="110" t="str">
        <f>IF('TERM 1'!AC60="","",'TERM 1'!AC60)</f>
        <v/>
      </c>
      <c r="G56" s="111" t="str">
        <f>IF('TERM 2'!AC60="","",'TERM 2'!AC60)</f>
        <v/>
      </c>
      <c r="H56" s="112" t="str">
        <f>IF('TERM 3'!AC60="","",'TERM 3'!AC60)</f>
        <v/>
      </c>
      <c r="I56" s="115" t="str">
        <f t="shared" si="0"/>
        <v/>
      </c>
      <c r="J56" s="114" t="str">
        <f>IF(I56="","",IFERROR(INDEX(HELPER!$G$8:$G$48,MATCH(I56,HELPER!$F$8:$F$48,-1)),""))</f>
        <v/>
      </c>
      <c r="K56" s="179"/>
      <c r="L56" s="131"/>
      <c r="M56" s="131"/>
    </row>
    <row r="57" spans="1:13" ht="15" customHeight="1" x14ac:dyDescent="0.25">
      <c r="A57" s="131"/>
      <c r="B57" s="159">
        <v>44</v>
      </c>
      <c r="C57" s="260" t="str">
        <f>IF('INPUT DATA'!K54="","",'INPUT DATA'!K54)</f>
        <v/>
      </c>
      <c r="D57" s="246"/>
      <c r="E57" s="246"/>
      <c r="F57" s="110" t="str">
        <f>IF('TERM 1'!AC61="","",'TERM 1'!AC61)</f>
        <v/>
      </c>
      <c r="G57" s="111" t="str">
        <f>IF('TERM 2'!AC61="","",'TERM 2'!AC61)</f>
        <v/>
      </c>
      <c r="H57" s="112" t="str">
        <f>IF('TERM 3'!AC61="","",'TERM 3'!AC61)</f>
        <v/>
      </c>
      <c r="I57" s="115" t="str">
        <f t="shared" si="0"/>
        <v/>
      </c>
      <c r="J57" s="114" t="str">
        <f>IF(I57="","",IFERROR(INDEX(HELPER!$G$8:$G$48,MATCH(I57,HELPER!$F$8:$F$48,-1)),""))</f>
        <v/>
      </c>
      <c r="K57" s="179"/>
      <c r="L57" s="131"/>
      <c r="M57" s="131"/>
    </row>
    <row r="58" spans="1:13" ht="15" customHeight="1" x14ac:dyDescent="0.25">
      <c r="A58" s="131"/>
      <c r="B58" s="159">
        <v>45</v>
      </c>
      <c r="C58" s="260" t="str">
        <f>IF('INPUT DATA'!K55="","",'INPUT DATA'!K55)</f>
        <v/>
      </c>
      <c r="D58" s="246"/>
      <c r="E58" s="246"/>
      <c r="F58" s="110" t="str">
        <f>IF('TERM 1'!AC62="","",'TERM 1'!AC62)</f>
        <v/>
      </c>
      <c r="G58" s="111" t="str">
        <f>IF('TERM 2'!AC62="","",'TERM 2'!AC62)</f>
        <v/>
      </c>
      <c r="H58" s="112" t="str">
        <f>IF('TERM 3'!AC62="","",'TERM 3'!AC62)</f>
        <v/>
      </c>
      <c r="I58" s="115" t="str">
        <f t="shared" si="0"/>
        <v/>
      </c>
      <c r="J58" s="114" t="str">
        <f>IF(I58="","",IFERROR(INDEX(HELPER!$G$8:$G$48,MATCH(I58,HELPER!$F$8:$F$48,-1)),""))</f>
        <v/>
      </c>
      <c r="K58" s="179"/>
      <c r="L58" s="131"/>
      <c r="M58" s="131"/>
    </row>
    <row r="59" spans="1:13" ht="15" customHeight="1" x14ac:dyDescent="0.25">
      <c r="A59" s="131"/>
      <c r="B59" s="159">
        <v>46</v>
      </c>
      <c r="C59" s="260" t="str">
        <f>IF('INPUT DATA'!K56="","",'INPUT DATA'!K56)</f>
        <v/>
      </c>
      <c r="D59" s="246"/>
      <c r="E59" s="246"/>
      <c r="F59" s="110" t="str">
        <f>IF('TERM 1'!AC63="","",'TERM 1'!AC63)</f>
        <v/>
      </c>
      <c r="G59" s="111" t="str">
        <f>IF('TERM 2'!AC63="","",'TERM 2'!AC63)</f>
        <v/>
      </c>
      <c r="H59" s="112" t="str">
        <f>IF('TERM 3'!AC63="","",'TERM 3'!AC63)</f>
        <v/>
      </c>
      <c r="I59" s="115" t="str">
        <f t="shared" si="0"/>
        <v/>
      </c>
      <c r="J59" s="114" t="str">
        <f>IF(I59="","",IFERROR(INDEX(HELPER!$G$8:$G$48,MATCH(I59,HELPER!$F$8:$F$48,-1)),""))</f>
        <v/>
      </c>
      <c r="K59" s="179"/>
      <c r="L59" s="131"/>
      <c r="M59" s="131"/>
    </row>
    <row r="60" spans="1:13" ht="15" customHeight="1" x14ac:dyDescent="0.25">
      <c r="A60" s="131"/>
      <c r="B60" s="159">
        <v>47</v>
      </c>
      <c r="C60" s="260" t="str">
        <f>IF('INPUT DATA'!K57="","",'INPUT DATA'!K57)</f>
        <v/>
      </c>
      <c r="D60" s="246"/>
      <c r="E60" s="246"/>
      <c r="F60" s="110" t="str">
        <f>IF('TERM 1'!AC64="","",'TERM 1'!AC64)</f>
        <v/>
      </c>
      <c r="G60" s="111" t="str">
        <f>IF('TERM 2'!AC64="","",'TERM 2'!AC64)</f>
        <v/>
      </c>
      <c r="H60" s="112" t="str">
        <f>IF('TERM 3'!AC64="","",'TERM 3'!AC64)</f>
        <v/>
      </c>
      <c r="I60" s="115" t="str">
        <f t="shared" si="0"/>
        <v/>
      </c>
      <c r="J60" s="114" t="str">
        <f>IF(I60="","",IFERROR(INDEX(HELPER!$G$8:$G$48,MATCH(I60,HELPER!$F$8:$F$48,-1)),""))</f>
        <v/>
      </c>
      <c r="K60" s="179"/>
      <c r="L60" s="131"/>
      <c r="M60" s="131"/>
    </row>
    <row r="61" spans="1:13" ht="15" customHeight="1" x14ac:dyDescent="0.25">
      <c r="A61" s="131"/>
      <c r="B61" s="159">
        <v>48</v>
      </c>
      <c r="C61" s="260" t="str">
        <f>IF('INPUT DATA'!K58="","",'INPUT DATA'!K58)</f>
        <v/>
      </c>
      <c r="D61" s="246"/>
      <c r="E61" s="246"/>
      <c r="F61" s="110" t="str">
        <f>IF('TERM 1'!AC65="","",'TERM 1'!AC65)</f>
        <v/>
      </c>
      <c r="G61" s="111" t="str">
        <f>IF('TERM 2'!AC65="","",'TERM 2'!AC65)</f>
        <v/>
      </c>
      <c r="H61" s="112" t="str">
        <f>IF('TERM 3'!AC65="","",'TERM 3'!AC65)</f>
        <v/>
      </c>
      <c r="I61" s="115" t="str">
        <f t="shared" si="0"/>
        <v/>
      </c>
      <c r="J61" s="114" t="str">
        <f>IF(I61="","",IFERROR(INDEX(HELPER!$G$8:$G$48,MATCH(I61,HELPER!$F$8:$F$48,-1)),""))</f>
        <v/>
      </c>
      <c r="K61" s="179"/>
      <c r="L61" s="131"/>
      <c r="M61" s="131"/>
    </row>
    <row r="62" spans="1:13" ht="15" customHeight="1" x14ac:dyDescent="0.25">
      <c r="A62" s="131"/>
      <c r="B62" s="159">
        <v>49</v>
      </c>
      <c r="C62" s="260" t="str">
        <f>IF('INPUT DATA'!K59="","",'INPUT DATA'!K59)</f>
        <v/>
      </c>
      <c r="D62" s="246"/>
      <c r="E62" s="246"/>
      <c r="F62" s="110" t="str">
        <f>IF('TERM 1'!AC66="","",'TERM 1'!AC66)</f>
        <v/>
      </c>
      <c r="G62" s="111" t="str">
        <f>IF('TERM 2'!AC66="","",'TERM 2'!AC66)</f>
        <v/>
      </c>
      <c r="H62" s="112" t="str">
        <f>IF('TERM 3'!AC66="","",'TERM 3'!AC66)</f>
        <v/>
      </c>
      <c r="I62" s="115" t="str">
        <f t="shared" si="0"/>
        <v/>
      </c>
      <c r="J62" s="114" t="str">
        <f>IF(I62="","",IFERROR(INDEX(HELPER!$G$8:$G$48,MATCH(I62,HELPER!$F$8:$F$48,-1)),""))</f>
        <v/>
      </c>
      <c r="K62" s="179"/>
      <c r="L62" s="131"/>
      <c r="M62" s="131"/>
    </row>
    <row r="63" spans="1:13" ht="15" customHeight="1" thickBot="1" x14ac:dyDescent="0.3">
      <c r="A63" s="131"/>
      <c r="B63" s="159">
        <v>50</v>
      </c>
      <c r="C63" s="265" t="str">
        <f>IF('INPUT DATA'!K60="","",'INPUT DATA'!K60)</f>
        <v/>
      </c>
      <c r="D63" s="237"/>
      <c r="E63" s="237"/>
      <c r="F63" s="116" t="str">
        <f>IF('TERM 1'!AC67="","",'TERM 1'!AC67)</f>
        <v/>
      </c>
      <c r="G63" s="117" t="str">
        <f>IF('TERM 2'!AC67="","",'TERM 2'!AC67)</f>
        <v/>
      </c>
      <c r="H63" s="118" t="str">
        <f>IF('TERM 3'!AC67="","",'TERM 3'!AC67)</f>
        <v/>
      </c>
      <c r="I63" s="119" t="str">
        <f t="shared" si="0"/>
        <v/>
      </c>
      <c r="J63" s="120" t="str">
        <f>IF(I63="","",IFERROR(INDEX(HELPER!$G$8:$G$48,MATCH(I63,HELPER!$F$8:$F$48,-1)),""))</f>
        <v/>
      </c>
      <c r="K63" s="181"/>
      <c r="L63" s="131"/>
      <c r="M63" s="131"/>
    </row>
    <row r="64" spans="1:13" ht="14.4" customHeight="1" thickBot="1" x14ac:dyDescent="0.3">
      <c r="A64" s="131"/>
      <c r="B64" s="272" t="s">
        <v>6</v>
      </c>
      <c r="C64" s="227"/>
      <c r="D64" s="227"/>
      <c r="E64" s="227"/>
      <c r="F64" s="273"/>
      <c r="G64" s="273"/>
      <c r="H64" s="227"/>
      <c r="I64" s="273"/>
      <c r="J64" s="227"/>
      <c r="K64" s="228"/>
      <c r="L64" s="131"/>
      <c r="M64" s="131"/>
    </row>
    <row r="65" spans="1:13" ht="15" customHeight="1" x14ac:dyDescent="0.25">
      <c r="A65" s="131"/>
      <c r="B65" s="182">
        <v>1</v>
      </c>
      <c r="C65" s="260" t="str">
        <f>IF('INPUT DATA'!N11="","",'INPUT DATA'!N11)</f>
        <v/>
      </c>
      <c r="D65" s="246"/>
      <c r="E65" s="246"/>
      <c r="F65" s="105" t="str">
        <f>IF('TERM 1'!AC69="","",'TERM 1'!AC69)</f>
        <v/>
      </c>
      <c r="G65" s="106" t="str">
        <f>IF('TERM 2'!AC69="","",'TERM 2'!AC69)</f>
        <v/>
      </c>
      <c r="H65" s="107" t="str">
        <f>IF('TERM 3'!AC69="","",'TERM 3'!AC69)</f>
        <v/>
      </c>
      <c r="I65" s="108" t="str">
        <f t="shared" si="0"/>
        <v/>
      </c>
      <c r="J65" s="121" t="str">
        <f>IF(I65="","",IFERROR(INDEX(HELPER!$G$8:$G$48,MATCH(I65,HELPER!$F$8:$F$48,-1)),""))</f>
        <v/>
      </c>
      <c r="K65" s="183"/>
      <c r="L65" s="131"/>
      <c r="M65" s="131"/>
    </row>
    <row r="66" spans="1:13" ht="15" customHeight="1" x14ac:dyDescent="0.25">
      <c r="A66" s="131"/>
      <c r="B66" s="184">
        <v>2</v>
      </c>
      <c r="C66" s="260" t="str">
        <f>IF('INPUT DATA'!N12="","",'INPUT DATA'!N12)</f>
        <v/>
      </c>
      <c r="D66" s="246"/>
      <c r="E66" s="246"/>
      <c r="F66" s="110" t="str">
        <f>IF('TERM 1'!AC70="","",'TERM 1'!AC70)</f>
        <v/>
      </c>
      <c r="G66" s="111" t="str">
        <f>IF('TERM 2'!AC70="","",'TERM 2'!AC70)</f>
        <v/>
      </c>
      <c r="H66" s="122" t="str">
        <f>IF('TERM 3'!AC70="","",'TERM 3'!AC70)</f>
        <v/>
      </c>
      <c r="I66" s="115" t="str">
        <f t="shared" si="0"/>
        <v/>
      </c>
      <c r="J66" s="114" t="str">
        <f>IF(I66="","",IFERROR(INDEX(HELPER!$G$8:$G$48,MATCH(I66,HELPER!$F$8:$F$48,-1)),""))</f>
        <v/>
      </c>
      <c r="K66" s="179"/>
      <c r="L66" s="131"/>
      <c r="M66" s="131"/>
    </row>
    <row r="67" spans="1:13" ht="15" customHeight="1" x14ac:dyDescent="0.25">
      <c r="A67" s="131"/>
      <c r="B67" s="184">
        <v>3</v>
      </c>
      <c r="C67" s="260" t="str">
        <f>IF('INPUT DATA'!N13="","",'INPUT DATA'!N13)</f>
        <v/>
      </c>
      <c r="D67" s="246"/>
      <c r="E67" s="246"/>
      <c r="F67" s="110" t="str">
        <f>IF('TERM 1'!AC71="","",'TERM 1'!AC71)</f>
        <v/>
      </c>
      <c r="G67" s="111" t="str">
        <f>IF('TERM 2'!AC71="","",'TERM 2'!AC71)</f>
        <v/>
      </c>
      <c r="H67" s="122" t="str">
        <f>IF('TERM 3'!AC71="","",'TERM 3'!AC71)</f>
        <v/>
      </c>
      <c r="I67" s="115" t="str">
        <f t="shared" si="0"/>
        <v/>
      </c>
      <c r="J67" s="114" t="str">
        <f>IF(I67="","",IFERROR(INDEX(HELPER!$G$8:$G$48,MATCH(I67,HELPER!$F$8:$F$48,-1)),""))</f>
        <v/>
      </c>
      <c r="K67" s="179"/>
      <c r="L67" s="131"/>
      <c r="M67" s="131"/>
    </row>
    <row r="68" spans="1:13" ht="15" customHeight="1" x14ac:dyDescent="0.25">
      <c r="A68" s="131"/>
      <c r="B68" s="184">
        <v>4</v>
      </c>
      <c r="C68" s="260" t="str">
        <f>IF('INPUT DATA'!N14="","",'INPUT DATA'!N14)</f>
        <v/>
      </c>
      <c r="D68" s="246"/>
      <c r="E68" s="246"/>
      <c r="F68" s="110" t="str">
        <f>IF('TERM 1'!AC72="","",'TERM 1'!AC72)</f>
        <v/>
      </c>
      <c r="G68" s="111" t="str">
        <f>IF('TERM 2'!AC72="","",'TERM 2'!AC72)</f>
        <v/>
      </c>
      <c r="H68" s="122" t="str">
        <f>IF('TERM 3'!AC72="","",'TERM 3'!AC72)</f>
        <v/>
      </c>
      <c r="I68" s="115" t="str">
        <f t="shared" si="0"/>
        <v/>
      </c>
      <c r="J68" s="114" t="str">
        <f>IF(I68="","",IFERROR(INDEX(HELPER!$G$8:$G$48,MATCH(I68,HELPER!$F$8:$F$48,-1)),""))</f>
        <v/>
      </c>
      <c r="K68" s="179"/>
      <c r="L68" s="131"/>
      <c r="M68" s="131"/>
    </row>
    <row r="69" spans="1:13" ht="15" customHeight="1" x14ac:dyDescent="0.25">
      <c r="A69" s="131"/>
      <c r="B69" s="184">
        <v>5</v>
      </c>
      <c r="C69" s="260" t="str">
        <f>IF('INPUT DATA'!N15="","",'INPUT DATA'!N15)</f>
        <v/>
      </c>
      <c r="D69" s="246"/>
      <c r="E69" s="246"/>
      <c r="F69" s="110" t="str">
        <f>IF('TERM 1'!AC73="","",'TERM 1'!AC73)</f>
        <v/>
      </c>
      <c r="G69" s="111" t="str">
        <f>IF('TERM 2'!AC73="","",'TERM 2'!AC73)</f>
        <v/>
      </c>
      <c r="H69" s="122" t="str">
        <f>IF('TERM 3'!AC73="","",'TERM 3'!AC73)</f>
        <v/>
      </c>
      <c r="I69" s="115" t="str">
        <f t="shared" si="0"/>
        <v/>
      </c>
      <c r="J69" s="114" t="str">
        <f>IF(I69="","",IFERROR(INDEX(HELPER!$G$8:$G$48,MATCH(I69,HELPER!$F$8:$F$48,-1)),""))</f>
        <v/>
      </c>
      <c r="K69" s="179"/>
      <c r="L69" s="131"/>
      <c r="M69" s="131"/>
    </row>
    <row r="70" spans="1:13" ht="15" customHeight="1" x14ac:dyDescent="0.25">
      <c r="A70" s="131"/>
      <c r="B70" s="184">
        <v>6</v>
      </c>
      <c r="C70" s="260" t="str">
        <f>IF('INPUT DATA'!N16="","",'INPUT DATA'!N16)</f>
        <v/>
      </c>
      <c r="D70" s="246"/>
      <c r="E70" s="246"/>
      <c r="F70" s="110" t="str">
        <f>IF('TERM 1'!AC74="","",'TERM 1'!AC74)</f>
        <v/>
      </c>
      <c r="G70" s="111" t="str">
        <f>IF('TERM 2'!AC74="","",'TERM 2'!AC74)</f>
        <v/>
      </c>
      <c r="H70" s="122" t="str">
        <f>IF('TERM 3'!AC74="","",'TERM 3'!AC74)</f>
        <v/>
      </c>
      <c r="I70" s="115" t="str">
        <f t="shared" si="0"/>
        <v/>
      </c>
      <c r="J70" s="114" t="str">
        <f>IF(I70="","",IFERROR(INDEX(HELPER!$G$8:$G$48,MATCH(I70,HELPER!$F$8:$F$48,-1)),""))</f>
        <v/>
      </c>
      <c r="K70" s="179"/>
      <c r="L70" s="131"/>
      <c r="M70" s="131"/>
    </row>
    <row r="71" spans="1:13" ht="15" customHeight="1" x14ac:dyDescent="0.25">
      <c r="A71" s="131"/>
      <c r="B71" s="184">
        <v>7</v>
      </c>
      <c r="C71" s="260" t="str">
        <f>IF('INPUT DATA'!N17="","",'INPUT DATA'!N17)</f>
        <v/>
      </c>
      <c r="D71" s="246"/>
      <c r="E71" s="246"/>
      <c r="F71" s="110" t="str">
        <f>IF('TERM 1'!AC75="","",'TERM 1'!AC75)</f>
        <v/>
      </c>
      <c r="G71" s="111" t="str">
        <f>IF('TERM 2'!AC75="","",'TERM 2'!AC75)</f>
        <v/>
      </c>
      <c r="H71" s="122" t="str">
        <f>IF('TERM 3'!AC75="","",'TERM 3'!AC75)</f>
        <v/>
      </c>
      <c r="I71" s="115" t="str">
        <f t="shared" si="0"/>
        <v/>
      </c>
      <c r="J71" s="114" t="str">
        <f>IF(I71="","",IFERROR(INDEX(HELPER!$G$8:$G$48,MATCH(I71,HELPER!$F$8:$F$48,-1)),""))</f>
        <v/>
      </c>
      <c r="K71" s="179"/>
      <c r="L71" s="131"/>
      <c r="M71" s="131"/>
    </row>
    <row r="72" spans="1:13" ht="15" customHeight="1" x14ac:dyDescent="0.25">
      <c r="A72" s="131"/>
      <c r="B72" s="184">
        <v>8</v>
      </c>
      <c r="C72" s="260" t="str">
        <f>IF('INPUT DATA'!N18="","",'INPUT DATA'!N18)</f>
        <v/>
      </c>
      <c r="D72" s="246"/>
      <c r="E72" s="246"/>
      <c r="F72" s="110" t="str">
        <f>IF('TERM 1'!AC76="","",'TERM 1'!AC76)</f>
        <v/>
      </c>
      <c r="G72" s="111" t="str">
        <f>IF('TERM 2'!AC76="","",'TERM 2'!AC76)</f>
        <v/>
      </c>
      <c r="H72" s="122" t="str">
        <f>IF('TERM 3'!AC76="","",'TERM 3'!AC76)</f>
        <v/>
      </c>
      <c r="I72" s="115" t="str">
        <f t="shared" si="0"/>
        <v/>
      </c>
      <c r="J72" s="114" t="str">
        <f>IF(I72="","",IFERROR(INDEX(HELPER!$G$8:$G$48,MATCH(I72,HELPER!$F$8:$F$48,-1)),""))</f>
        <v/>
      </c>
      <c r="K72" s="179"/>
      <c r="L72" s="131"/>
      <c r="M72" s="131"/>
    </row>
    <row r="73" spans="1:13" ht="15" customHeight="1" x14ac:dyDescent="0.25">
      <c r="A73" s="131"/>
      <c r="B73" s="184">
        <v>9</v>
      </c>
      <c r="C73" s="260" t="str">
        <f>IF('INPUT DATA'!N19="","",'INPUT DATA'!N19)</f>
        <v/>
      </c>
      <c r="D73" s="246"/>
      <c r="E73" s="246"/>
      <c r="F73" s="110" t="str">
        <f>IF('TERM 1'!AC77="","",'TERM 1'!AC77)</f>
        <v/>
      </c>
      <c r="G73" s="111" t="str">
        <f>IF('TERM 2'!AC77="","",'TERM 2'!AC77)</f>
        <v/>
      </c>
      <c r="H73" s="122" t="str">
        <f>IF('TERM 3'!AC77="","",'TERM 3'!AC77)</f>
        <v/>
      </c>
      <c r="I73" s="115" t="str">
        <f t="shared" si="0"/>
        <v/>
      </c>
      <c r="J73" s="114" t="str">
        <f>IF(I73="","",IFERROR(INDEX(HELPER!$G$8:$G$48,MATCH(I73,HELPER!$F$8:$F$48,-1)),""))</f>
        <v/>
      </c>
      <c r="K73" s="179"/>
      <c r="L73" s="131"/>
      <c r="M73" s="131"/>
    </row>
    <row r="74" spans="1:13" ht="15" customHeight="1" x14ac:dyDescent="0.25">
      <c r="A74" s="131"/>
      <c r="B74" s="184">
        <v>10</v>
      </c>
      <c r="C74" s="260" t="str">
        <f>IF('INPUT DATA'!N20="","",'INPUT DATA'!N20)</f>
        <v/>
      </c>
      <c r="D74" s="246"/>
      <c r="E74" s="246"/>
      <c r="F74" s="110" t="str">
        <f>IF('TERM 1'!AC78="","",'TERM 1'!AC78)</f>
        <v/>
      </c>
      <c r="G74" s="111" t="str">
        <f>IF('TERM 2'!AC78="","",'TERM 2'!AC78)</f>
        <v/>
      </c>
      <c r="H74" s="122" t="str">
        <f>IF('TERM 3'!AC78="","",'TERM 3'!AC78)</f>
        <v/>
      </c>
      <c r="I74" s="115" t="str">
        <f t="shared" si="0"/>
        <v/>
      </c>
      <c r="J74" s="114" t="str">
        <f>IF(I74="","",IFERROR(INDEX(HELPER!$G$8:$G$48,MATCH(I74,HELPER!$F$8:$F$48,-1)),""))</f>
        <v/>
      </c>
      <c r="K74" s="179"/>
      <c r="L74" s="131"/>
      <c r="M74" s="131"/>
    </row>
    <row r="75" spans="1:13" ht="15" customHeight="1" x14ac:dyDescent="0.25">
      <c r="A75" s="131"/>
      <c r="B75" s="184">
        <v>11</v>
      </c>
      <c r="C75" s="260" t="str">
        <f>IF('INPUT DATA'!N21="","",'INPUT DATA'!N21)</f>
        <v/>
      </c>
      <c r="D75" s="246"/>
      <c r="E75" s="246"/>
      <c r="F75" s="110" t="str">
        <f>IF('TERM 1'!AC79="","",'TERM 1'!AC79)</f>
        <v/>
      </c>
      <c r="G75" s="111" t="str">
        <f>IF('TERM 2'!AC79="","",'TERM 2'!AC79)</f>
        <v/>
      </c>
      <c r="H75" s="122" t="str">
        <f>IF('TERM 3'!AC79="","",'TERM 3'!AC79)</f>
        <v/>
      </c>
      <c r="I75" s="115" t="str">
        <f t="shared" si="0"/>
        <v/>
      </c>
      <c r="J75" s="114" t="str">
        <f>IF(I75="","",IFERROR(INDEX(HELPER!$G$8:$G$48,MATCH(I75,HELPER!$F$8:$F$48,-1)),""))</f>
        <v/>
      </c>
      <c r="K75" s="179"/>
      <c r="L75" s="131"/>
      <c r="M75" s="131"/>
    </row>
    <row r="76" spans="1:13" ht="15" customHeight="1" x14ac:dyDescent="0.25">
      <c r="A76" s="131"/>
      <c r="B76" s="184">
        <v>12</v>
      </c>
      <c r="C76" s="260" t="str">
        <f>IF('INPUT DATA'!N22="","",'INPUT DATA'!N22)</f>
        <v/>
      </c>
      <c r="D76" s="246"/>
      <c r="E76" s="246"/>
      <c r="F76" s="110" t="str">
        <f>IF('TERM 1'!AC80="","",'TERM 1'!AC80)</f>
        <v/>
      </c>
      <c r="G76" s="111" t="str">
        <f>IF('TERM 2'!AC80="","",'TERM 2'!AC80)</f>
        <v/>
      </c>
      <c r="H76" s="122" t="str">
        <f>IF('TERM 3'!AC80="","",'TERM 3'!AC80)</f>
        <v/>
      </c>
      <c r="I76" s="115" t="str">
        <f t="shared" si="0"/>
        <v/>
      </c>
      <c r="J76" s="114" t="str">
        <f>IF(I76="","",IFERROR(INDEX(HELPER!$G$8:$G$48,MATCH(I76,HELPER!$F$8:$F$48,-1)),""))</f>
        <v/>
      </c>
      <c r="K76" s="179"/>
      <c r="L76" s="131"/>
      <c r="M76" s="131"/>
    </row>
    <row r="77" spans="1:13" ht="15" customHeight="1" x14ac:dyDescent="0.25">
      <c r="A77" s="131"/>
      <c r="B77" s="184">
        <v>13</v>
      </c>
      <c r="C77" s="260" t="str">
        <f>IF('INPUT DATA'!N23="","",'INPUT DATA'!N23)</f>
        <v/>
      </c>
      <c r="D77" s="246"/>
      <c r="E77" s="246"/>
      <c r="F77" s="110" t="str">
        <f>IF('TERM 1'!AC81="","",'TERM 1'!AC81)</f>
        <v/>
      </c>
      <c r="G77" s="111" t="str">
        <f>IF('TERM 2'!AC81="","",'TERM 2'!AC81)</f>
        <v/>
      </c>
      <c r="H77" s="122" t="str">
        <f>IF('TERM 3'!AC81="","",'TERM 3'!AC81)</f>
        <v/>
      </c>
      <c r="I77" s="115" t="str">
        <f t="shared" si="0"/>
        <v/>
      </c>
      <c r="J77" s="114" t="str">
        <f>IF(I77="","",IFERROR(INDEX(HELPER!$G$8:$G$48,MATCH(I77,HELPER!$F$8:$F$48,-1)),""))</f>
        <v/>
      </c>
      <c r="K77" s="179"/>
      <c r="L77" s="131"/>
      <c r="M77" s="131"/>
    </row>
    <row r="78" spans="1:13" ht="15" customHeight="1" x14ac:dyDescent="0.25">
      <c r="A78" s="131"/>
      <c r="B78" s="184">
        <v>14</v>
      </c>
      <c r="C78" s="260" t="str">
        <f>IF('INPUT DATA'!N24="","",'INPUT DATA'!N24)</f>
        <v/>
      </c>
      <c r="D78" s="246"/>
      <c r="E78" s="246"/>
      <c r="F78" s="110" t="str">
        <f>IF('TERM 1'!AC82="","",'TERM 1'!AC82)</f>
        <v/>
      </c>
      <c r="G78" s="111" t="str">
        <f>IF('TERM 2'!AC82="","",'TERM 2'!AC82)</f>
        <v/>
      </c>
      <c r="H78" s="122" t="str">
        <f>IF('TERM 3'!AC82="","",'TERM 3'!AC82)</f>
        <v/>
      </c>
      <c r="I78" s="115" t="str">
        <f t="shared" si="0"/>
        <v/>
      </c>
      <c r="J78" s="114" t="str">
        <f>IF(I78="","",IFERROR(INDEX(HELPER!$G$8:$G$48,MATCH(I78,HELPER!$F$8:$F$48,-1)),""))</f>
        <v/>
      </c>
      <c r="K78" s="179"/>
      <c r="L78" s="131"/>
      <c r="M78" s="131"/>
    </row>
    <row r="79" spans="1:13" ht="15" customHeight="1" x14ac:dyDescent="0.25">
      <c r="A79" s="131"/>
      <c r="B79" s="184">
        <v>15</v>
      </c>
      <c r="C79" s="260" t="str">
        <f>IF('INPUT DATA'!N25="","",'INPUT DATA'!N25)</f>
        <v/>
      </c>
      <c r="D79" s="246"/>
      <c r="E79" s="246"/>
      <c r="F79" s="110" t="str">
        <f>IF('TERM 1'!AC83="","",'TERM 1'!AC83)</f>
        <v/>
      </c>
      <c r="G79" s="111" t="str">
        <f>IF('TERM 2'!AC83="","",'TERM 2'!AC83)</f>
        <v/>
      </c>
      <c r="H79" s="122" t="str">
        <f>IF('TERM 3'!AC83="","",'TERM 3'!AC83)</f>
        <v/>
      </c>
      <c r="I79" s="115" t="str">
        <f t="shared" ref="I79:I114" si="1">IF(COUNT(F79,G79,H79)&lt;3,"",ROUND(AVERAGE(F79,G79,H79),0))</f>
        <v/>
      </c>
      <c r="J79" s="114" t="str">
        <f>IF(I79="","",IFERROR(INDEX(HELPER!$G$8:$G$48,MATCH(I79,HELPER!$F$8:$F$48,-1)),""))</f>
        <v/>
      </c>
      <c r="K79" s="179"/>
      <c r="L79" s="131"/>
      <c r="M79" s="131"/>
    </row>
    <row r="80" spans="1:13" ht="15" customHeight="1" x14ac:dyDescent="0.25">
      <c r="A80" s="131"/>
      <c r="B80" s="184">
        <v>16</v>
      </c>
      <c r="C80" s="260" t="str">
        <f>IF('INPUT DATA'!N26="","",'INPUT DATA'!N26)</f>
        <v/>
      </c>
      <c r="D80" s="246"/>
      <c r="E80" s="246"/>
      <c r="F80" s="110" t="str">
        <f>IF('TERM 1'!AC84="","",'TERM 1'!AC84)</f>
        <v/>
      </c>
      <c r="G80" s="111" t="str">
        <f>IF('TERM 2'!AC84="","",'TERM 2'!AC84)</f>
        <v/>
      </c>
      <c r="H80" s="122" t="str">
        <f>IF('TERM 3'!AC84="","",'TERM 3'!AC84)</f>
        <v/>
      </c>
      <c r="I80" s="115" t="str">
        <f t="shared" si="1"/>
        <v/>
      </c>
      <c r="J80" s="114" t="str">
        <f>IF(I80="","",IFERROR(INDEX(HELPER!$G$8:$G$48,MATCH(I80,HELPER!$F$8:$F$48,-1)),""))</f>
        <v/>
      </c>
      <c r="K80" s="179"/>
      <c r="L80" s="131"/>
      <c r="M80" s="131"/>
    </row>
    <row r="81" spans="1:13" ht="15" customHeight="1" x14ac:dyDescent="0.25">
      <c r="A81" s="131"/>
      <c r="B81" s="184">
        <v>17</v>
      </c>
      <c r="C81" s="260" t="str">
        <f>IF('INPUT DATA'!N27="","",'INPUT DATA'!N27)</f>
        <v/>
      </c>
      <c r="D81" s="246"/>
      <c r="E81" s="246"/>
      <c r="F81" s="110" t="str">
        <f>IF('TERM 1'!AC85="","",'TERM 1'!AC85)</f>
        <v/>
      </c>
      <c r="G81" s="111" t="str">
        <f>IF('TERM 2'!AC85="","",'TERM 2'!AC85)</f>
        <v/>
      </c>
      <c r="H81" s="122" t="str">
        <f>IF('TERM 3'!AC85="","",'TERM 3'!AC85)</f>
        <v/>
      </c>
      <c r="I81" s="115" t="str">
        <f t="shared" si="1"/>
        <v/>
      </c>
      <c r="J81" s="114" t="str">
        <f>IF(I81="","",IFERROR(INDEX(HELPER!$G$8:$G$48,MATCH(I81,HELPER!$F$8:$F$48,-1)),""))</f>
        <v/>
      </c>
      <c r="K81" s="179"/>
      <c r="L81" s="131"/>
      <c r="M81" s="131"/>
    </row>
    <row r="82" spans="1:13" ht="15" customHeight="1" x14ac:dyDescent="0.25">
      <c r="A82" s="131"/>
      <c r="B82" s="184">
        <v>18</v>
      </c>
      <c r="C82" s="260" t="str">
        <f>IF('INPUT DATA'!N28="","",'INPUT DATA'!N28)</f>
        <v/>
      </c>
      <c r="D82" s="246"/>
      <c r="E82" s="246"/>
      <c r="F82" s="110" t="str">
        <f>IF('TERM 1'!AC86="","",'TERM 1'!AC86)</f>
        <v/>
      </c>
      <c r="G82" s="111" t="str">
        <f>IF('TERM 2'!AC86="","",'TERM 2'!AC86)</f>
        <v/>
      </c>
      <c r="H82" s="122" t="str">
        <f>IF('TERM 3'!AC86="","",'TERM 3'!AC86)</f>
        <v/>
      </c>
      <c r="I82" s="115" t="str">
        <f t="shared" si="1"/>
        <v/>
      </c>
      <c r="J82" s="114" t="str">
        <f>IF(I82="","",IFERROR(INDEX(HELPER!$G$8:$G$48,MATCH(I82,HELPER!$F$8:$F$48,-1)),""))</f>
        <v/>
      </c>
      <c r="K82" s="179"/>
      <c r="L82" s="131"/>
      <c r="M82" s="131"/>
    </row>
    <row r="83" spans="1:13" ht="15" customHeight="1" x14ac:dyDescent="0.25">
      <c r="A83" s="131"/>
      <c r="B83" s="184">
        <v>19</v>
      </c>
      <c r="C83" s="260" t="str">
        <f>IF('INPUT DATA'!N29="","",'INPUT DATA'!N29)</f>
        <v/>
      </c>
      <c r="D83" s="246"/>
      <c r="E83" s="246"/>
      <c r="F83" s="110" t="str">
        <f>IF('TERM 1'!AC87="","",'TERM 1'!AC87)</f>
        <v/>
      </c>
      <c r="G83" s="111" t="str">
        <f>IF('TERM 2'!AC87="","",'TERM 2'!AC87)</f>
        <v/>
      </c>
      <c r="H83" s="122" t="str">
        <f>IF('TERM 3'!AC87="","",'TERM 3'!AC87)</f>
        <v/>
      </c>
      <c r="I83" s="115" t="str">
        <f t="shared" si="1"/>
        <v/>
      </c>
      <c r="J83" s="114" t="str">
        <f>IF(I83="","",IFERROR(INDEX(HELPER!$G$8:$G$48,MATCH(I83,HELPER!$F$8:$F$48,-1)),""))</f>
        <v/>
      </c>
      <c r="K83" s="179"/>
      <c r="L83" s="131"/>
      <c r="M83" s="131"/>
    </row>
    <row r="84" spans="1:13" ht="15" customHeight="1" x14ac:dyDescent="0.25">
      <c r="A84" s="131"/>
      <c r="B84" s="185">
        <v>20</v>
      </c>
      <c r="C84" s="260" t="str">
        <f>IF('INPUT DATA'!N30="","",'INPUT DATA'!N30)</f>
        <v/>
      </c>
      <c r="D84" s="246"/>
      <c r="E84" s="246"/>
      <c r="F84" s="110" t="str">
        <f>IF('TERM 1'!AC88="","",'TERM 1'!AC88)</f>
        <v/>
      </c>
      <c r="G84" s="111" t="str">
        <f>IF('TERM 2'!AC88="","",'TERM 2'!AC88)</f>
        <v/>
      </c>
      <c r="H84" s="122" t="str">
        <f>IF('TERM 3'!AC88="","",'TERM 3'!AC88)</f>
        <v/>
      </c>
      <c r="I84" s="115" t="str">
        <f t="shared" si="1"/>
        <v/>
      </c>
      <c r="J84" s="114" t="str">
        <f>IF(I84="","",IFERROR(INDEX(HELPER!$G$8:$G$48,MATCH(I84,HELPER!$F$8:$F$48,-1)),""))</f>
        <v/>
      </c>
      <c r="K84" s="179"/>
      <c r="L84" s="131"/>
      <c r="M84" s="131"/>
    </row>
    <row r="85" spans="1:13" ht="15" customHeight="1" x14ac:dyDescent="0.25">
      <c r="A85" s="131"/>
      <c r="B85" s="185">
        <v>21</v>
      </c>
      <c r="C85" s="260" t="str">
        <f>IF('INPUT DATA'!N31="","",'INPUT DATA'!N31)</f>
        <v/>
      </c>
      <c r="D85" s="246"/>
      <c r="E85" s="246"/>
      <c r="F85" s="110" t="str">
        <f>IF('TERM 1'!AC89="","",'TERM 1'!AC89)</f>
        <v/>
      </c>
      <c r="G85" s="111" t="str">
        <f>IF('TERM 2'!AC89="","",'TERM 2'!AC89)</f>
        <v/>
      </c>
      <c r="H85" s="122" t="str">
        <f>IF('TERM 3'!AC89="","",'TERM 3'!AC89)</f>
        <v/>
      </c>
      <c r="I85" s="115" t="str">
        <f t="shared" si="1"/>
        <v/>
      </c>
      <c r="J85" s="114" t="str">
        <f>IF(I85="","",IFERROR(INDEX(HELPER!$G$8:$G$48,MATCH(I85,HELPER!$F$8:$F$48,-1)),""))</f>
        <v/>
      </c>
      <c r="K85" s="179"/>
      <c r="L85" s="131"/>
      <c r="M85" s="131"/>
    </row>
    <row r="86" spans="1:13" ht="15" customHeight="1" x14ac:dyDescent="0.25">
      <c r="A86" s="131"/>
      <c r="B86" s="185">
        <v>22</v>
      </c>
      <c r="C86" s="260" t="str">
        <f>IF('INPUT DATA'!N32="","",'INPUT DATA'!N32)</f>
        <v/>
      </c>
      <c r="D86" s="246"/>
      <c r="E86" s="246"/>
      <c r="F86" s="110" t="str">
        <f>IF('TERM 1'!AC90="","",'TERM 1'!AC90)</f>
        <v/>
      </c>
      <c r="G86" s="111" t="str">
        <f>IF('TERM 2'!AC90="","",'TERM 2'!AC90)</f>
        <v/>
      </c>
      <c r="H86" s="122" t="str">
        <f>IF('TERM 3'!AC90="","",'TERM 3'!AC90)</f>
        <v/>
      </c>
      <c r="I86" s="115" t="str">
        <f t="shared" si="1"/>
        <v/>
      </c>
      <c r="J86" s="114" t="str">
        <f>IF(I86="","",IFERROR(INDEX(HELPER!$G$8:$G$48,MATCH(I86,HELPER!$F$8:$F$48,-1)),""))</f>
        <v/>
      </c>
      <c r="K86" s="179"/>
      <c r="L86" s="131"/>
      <c r="M86" s="131"/>
    </row>
    <row r="87" spans="1:13" ht="15" customHeight="1" x14ac:dyDescent="0.25">
      <c r="A87" s="131"/>
      <c r="B87" s="185">
        <v>23</v>
      </c>
      <c r="C87" s="260" t="str">
        <f>IF('INPUT DATA'!N33="","",'INPUT DATA'!N33)</f>
        <v/>
      </c>
      <c r="D87" s="246"/>
      <c r="E87" s="246"/>
      <c r="F87" s="110" t="str">
        <f>IF('TERM 1'!AC91="","",'TERM 1'!AC91)</f>
        <v/>
      </c>
      <c r="G87" s="111" t="str">
        <f>IF('TERM 2'!AC91="","",'TERM 2'!AC91)</f>
        <v/>
      </c>
      <c r="H87" s="122" t="str">
        <f>IF('TERM 3'!AC91="","",'TERM 3'!AC91)</f>
        <v/>
      </c>
      <c r="I87" s="115" t="str">
        <f t="shared" si="1"/>
        <v/>
      </c>
      <c r="J87" s="114" t="str">
        <f>IF(I87="","",IFERROR(INDEX(HELPER!$G$8:$G$48,MATCH(I87,HELPER!$F$8:$F$48,-1)),""))</f>
        <v/>
      </c>
      <c r="K87" s="179"/>
      <c r="L87" s="131"/>
      <c r="M87" s="131"/>
    </row>
    <row r="88" spans="1:13" ht="15" customHeight="1" x14ac:dyDescent="0.25">
      <c r="A88" s="131"/>
      <c r="B88" s="185">
        <v>24</v>
      </c>
      <c r="C88" s="260" t="str">
        <f>IF('INPUT DATA'!N34="","",'INPUT DATA'!N34)</f>
        <v/>
      </c>
      <c r="D88" s="246"/>
      <c r="E88" s="246"/>
      <c r="F88" s="110" t="str">
        <f>IF('TERM 1'!AC92="","",'TERM 1'!AC92)</f>
        <v/>
      </c>
      <c r="G88" s="111" t="str">
        <f>IF('TERM 2'!AC92="","",'TERM 2'!AC92)</f>
        <v/>
      </c>
      <c r="H88" s="122" t="str">
        <f>IF('TERM 3'!AC92="","",'TERM 3'!AC92)</f>
        <v/>
      </c>
      <c r="I88" s="115" t="str">
        <f t="shared" si="1"/>
        <v/>
      </c>
      <c r="J88" s="114" t="str">
        <f>IF(I88="","",IFERROR(INDEX(HELPER!$G$8:$G$48,MATCH(I88,HELPER!$F$8:$F$48,-1)),""))</f>
        <v/>
      </c>
      <c r="K88" s="179"/>
      <c r="L88" s="131"/>
      <c r="M88" s="131"/>
    </row>
    <row r="89" spans="1:13" ht="15" customHeight="1" x14ac:dyDescent="0.25">
      <c r="A89" s="131"/>
      <c r="B89" s="185">
        <v>25</v>
      </c>
      <c r="C89" s="260" t="str">
        <f>IF('INPUT DATA'!N35="","",'INPUT DATA'!N35)</f>
        <v/>
      </c>
      <c r="D89" s="246"/>
      <c r="E89" s="246"/>
      <c r="F89" s="110" t="str">
        <f>IF('TERM 1'!AC93="","",'TERM 1'!AC93)</f>
        <v/>
      </c>
      <c r="G89" s="111" t="str">
        <f>IF('TERM 2'!AC93="","",'TERM 2'!AC93)</f>
        <v/>
      </c>
      <c r="H89" s="122" t="str">
        <f>IF('TERM 3'!AC93="","",'TERM 3'!AC93)</f>
        <v/>
      </c>
      <c r="I89" s="115" t="str">
        <f t="shared" si="1"/>
        <v/>
      </c>
      <c r="J89" s="114" t="str">
        <f>IF(I89="","",IFERROR(INDEX(HELPER!$G$8:$G$48,MATCH(I89,HELPER!$F$8:$F$48,-1)),""))</f>
        <v/>
      </c>
      <c r="K89" s="179"/>
      <c r="L89" s="131"/>
      <c r="M89" s="131"/>
    </row>
    <row r="90" spans="1:13" ht="15" customHeight="1" x14ac:dyDescent="0.25">
      <c r="A90" s="131"/>
      <c r="B90" s="185">
        <v>26</v>
      </c>
      <c r="C90" s="260" t="str">
        <f>IF('INPUT DATA'!N36="","",'INPUT DATA'!N36)</f>
        <v/>
      </c>
      <c r="D90" s="246"/>
      <c r="E90" s="246"/>
      <c r="F90" s="110" t="str">
        <f>IF('TERM 1'!AC94="","",'TERM 1'!AC94)</f>
        <v/>
      </c>
      <c r="G90" s="111" t="str">
        <f>IF('TERM 2'!AC94="","",'TERM 2'!AC94)</f>
        <v/>
      </c>
      <c r="H90" s="122" t="str">
        <f>IF('TERM 3'!AC94="","",'TERM 3'!AC94)</f>
        <v/>
      </c>
      <c r="I90" s="115" t="str">
        <f t="shared" si="1"/>
        <v/>
      </c>
      <c r="J90" s="114" t="str">
        <f>IF(I90="","",IFERROR(INDEX(HELPER!$G$8:$G$48,MATCH(I90,HELPER!$F$8:$F$48,-1)),""))</f>
        <v/>
      </c>
      <c r="K90" s="179"/>
      <c r="L90" s="131"/>
      <c r="M90" s="131"/>
    </row>
    <row r="91" spans="1:13" ht="15" customHeight="1" x14ac:dyDescent="0.25">
      <c r="A91" s="131"/>
      <c r="B91" s="185">
        <v>27</v>
      </c>
      <c r="C91" s="260" t="str">
        <f>IF('INPUT DATA'!N37="","",'INPUT DATA'!N37)</f>
        <v/>
      </c>
      <c r="D91" s="246"/>
      <c r="E91" s="246"/>
      <c r="F91" s="110" t="str">
        <f>IF('TERM 1'!AC95="","",'TERM 1'!AC95)</f>
        <v/>
      </c>
      <c r="G91" s="111" t="str">
        <f>IF('TERM 2'!AC95="","",'TERM 2'!AC95)</f>
        <v/>
      </c>
      <c r="H91" s="122" t="str">
        <f>IF('TERM 3'!AC95="","",'TERM 3'!AC95)</f>
        <v/>
      </c>
      <c r="I91" s="115" t="str">
        <f t="shared" si="1"/>
        <v/>
      </c>
      <c r="J91" s="114" t="str">
        <f>IF(I91="","",IFERROR(INDEX(HELPER!$G$8:$G$48,MATCH(I91,HELPER!$F$8:$F$48,-1)),""))</f>
        <v/>
      </c>
      <c r="K91" s="179"/>
      <c r="L91" s="131"/>
      <c r="M91" s="131"/>
    </row>
    <row r="92" spans="1:13" ht="15" customHeight="1" x14ac:dyDescent="0.25">
      <c r="A92" s="131"/>
      <c r="B92" s="185">
        <v>28</v>
      </c>
      <c r="C92" s="260" t="str">
        <f>IF('INPUT DATA'!N38="","",'INPUT DATA'!N38)</f>
        <v/>
      </c>
      <c r="D92" s="246"/>
      <c r="E92" s="246"/>
      <c r="F92" s="110" t="str">
        <f>IF('TERM 1'!AC96="","",'TERM 1'!AC96)</f>
        <v/>
      </c>
      <c r="G92" s="111" t="str">
        <f>IF('TERM 2'!AC96="","",'TERM 2'!AC96)</f>
        <v/>
      </c>
      <c r="H92" s="122" t="str">
        <f>IF('TERM 3'!AC96="","",'TERM 3'!AC96)</f>
        <v/>
      </c>
      <c r="I92" s="115" t="str">
        <f t="shared" si="1"/>
        <v/>
      </c>
      <c r="J92" s="114" t="str">
        <f>IF(I92="","",IFERROR(INDEX(HELPER!$G$8:$G$48,MATCH(I92,HELPER!$F$8:$F$48,-1)),""))</f>
        <v/>
      </c>
      <c r="K92" s="179"/>
      <c r="L92" s="131"/>
      <c r="M92" s="131"/>
    </row>
    <row r="93" spans="1:13" ht="15" customHeight="1" x14ac:dyDescent="0.25">
      <c r="A93" s="131"/>
      <c r="B93" s="185">
        <v>29</v>
      </c>
      <c r="C93" s="260" t="str">
        <f>IF('INPUT DATA'!N39="","",'INPUT DATA'!N39)</f>
        <v/>
      </c>
      <c r="D93" s="246"/>
      <c r="E93" s="246"/>
      <c r="F93" s="110" t="str">
        <f>IF('TERM 1'!AC97="","",'TERM 1'!AC97)</f>
        <v/>
      </c>
      <c r="G93" s="111" t="str">
        <f>IF('TERM 2'!AC97="","",'TERM 2'!AC97)</f>
        <v/>
      </c>
      <c r="H93" s="122" t="str">
        <f>IF('TERM 3'!AC97="","",'TERM 3'!AC97)</f>
        <v/>
      </c>
      <c r="I93" s="115" t="str">
        <f t="shared" si="1"/>
        <v/>
      </c>
      <c r="J93" s="114" t="str">
        <f>IF(I93="","",IFERROR(INDEX(HELPER!$G$8:$G$48,MATCH(I93,HELPER!$F$8:$F$48,-1)),""))</f>
        <v/>
      </c>
      <c r="K93" s="179"/>
      <c r="L93" s="131"/>
      <c r="M93" s="131"/>
    </row>
    <row r="94" spans="1:13" ht="15" customHeight="1" x14ac:dyDescent="0.25">
      <c r="A94" s="131"/>
      <c r="B94" s="185">
        <v>30</v>
      </c>
      <c r="C94" s="260" t="str">
        <f>IF('INPUT DATA'!N40="","",'INPUT DATA'!N40)</f>
        <v/>
      </c>
      <c r="D94" s="246"/>
      <c r="E94" s="246"/>
      <c r="F94" s="110" t="str">
        <f>IF('TERM 1'!AC98="","",'TERM 1'!AC98)</f>
        <v/>
      </c>
      <c r="G94" s="111" t="str">
        <f>IF('TERM 2'!AC98="","",'TERM 2'!AC98)</f>
        <v/>
      </c>
      <c r="H94" s="122" t="str">
        <f>IF('TERM 3'!AC98="","",'TERM 3'!AC98)</f>
        <v/>
      </c>
      <c r="I94" s="115" t="str">
        <f t="shared" si="1"/>
        <v/>
      </c>
      <c r="J94" s="114" t="str">
        <f>IF(I94="","",IFERROR(INDEX(HELPER!$G$8:$G$48,MATCH(I94,HELPER!$F$8:$F$48,-1)),""))</f>
        <v/>
      </c>
      <c r="K94" s="179"/>
      <c r="L94" s="131"/>
      <c r="M94" s="131"/>
    </row>
    <row r="95" spans="1:13" ht="15" customHeight="1" x14ac:dyDescent="0.25">
      <c r="A95" s="131"/>
      <c r="B95" s="185">
        <v>31</v>
      </c>
      <c r="C95" s="260" t="str">
        <f>IF('INPUT DATA'!N41="","",'INPUT DATA'!N41)</f>
        <v/>
      </c>
      <c r="D95" s="246"/>
      <c r="E95" s="246"/>
      <c r="F95" s="110" t="str">
        <f>IF('TERM 1'!AC99="","",'TERM 1'!AC99)</f>
        <v/>
      </c>
      <c r="G95" s="111" t="str">
        <f>IF('TERM 2'!AC99="","",'TERM 2'!AC99)</f>
        <v/>
      </c>
      <c r="H95" s="122" t="str">
        <f>IF('TERM 3'!AC99="","",'TERM 3'!AC99)</f>
        <v/>
      </c>
      <c r="I95" s="115" t="str">
        <f t="shared" si="1"/>
        <v/>
      </c>
      <c r="J95" s="114" t="str">
        <f>IF(I95="","",IFERROR(INDEX(HELPER!$G$8:$G$48,MATCH(I95,HELPER!$F$8:$F$48,-1)),""))</f>
        <v/>
      </c>
      <c r="K95" s="179"/>
      <c r="L95" s="131"/>
      <c r="M95" s="131"/>
    </row>
    <row r="96" spans="1:13" ht="15" customHeight="1" x14ac:dyDescent="0.25">
      <c r="A96" s="131"/>
      <c r="B96" s="185">
        <v>32</v>
      </c>
      <c r="C96" s="260" t="str">
        <f>IF('INPUT DATA'!N42="","",'INPUT DATA'!N42)</f>
        <v/>
      </c>
      <c r="D96" s="246"/>
      <c r="E96" s="246"/>
      <c r="F96" s="110" t="str">
        <f>IF('TERM 1'!AC100="","",'TERM 1'!AC100)</f>
        <v/>
      </c>
      <c r="G96" s="111" t="str">
        <f>IF('TERM 2'!AC100="","",'TERM 2'!AC100)</f>
        <v/>
      </c>
      <c r="H96" s="122" t="str">
        <f>IF('TERM 3'!AC100="","",'TERM 3'!AC100)</f>
        <v/>
      </c>
      <c r="I96" s="115" t="str">
        <f t="shared" si="1"/>
        <v/>
      </c>
      <c r="J96" s="114" t="str">
        <f>IF(I96="","",IFERROR(INDEX(HELPER!$G$8:$G$48,MATCH(I96,HELPER!$F$8:$F$48,-1)),""))</f>
        <v/>
      </c>
      <c r="K96" s="179"/>
      <c r="L96" s="131"/>
      <c r="M96" s="131"/>
    </row>
    <row r="97" spans="1:13" ht="15" customHeight="1" x14ac:dyDescent="0.25">
      <c r="A97" s="131"/>
      <c r="B97" s="185">
        <v>33</v>
      </c>
      <c r="C97" s="260" t="str">
        <f>IF('INPUT DATA'!N43="","",'INPUT DATA'!N43)</f>
        <v/>
      </c>
      <c r="D97" s="246"/>
      <c r="E97" s="246"/>
      <c r="F97" s="110" t="str">
        <f>IF('TERM 1'!AC101="","",'TERM 1'!AC101)</f>
        <v/>
      </c>
      <c r="G97" s="111" t="str">
        <f>IF('TERM 2'!AC101="","",'TERM 2'!AC101)</f>
        <v/>
      </c>
      <c r="H97" s="122" t="str">
        <f>IF('TERM 3'!AC101="","",'TERM 3'!AC101)</f>
        <v/>
      </c>
      <c r="I97" s="115" t="str">
        <f t="shared" si="1"/>
        <v/>
      </c>
      <c r="J97" s="114" t="str">
        <f>IF(I97="","",IFERROR(INDEX(HELPER!$G$8:$G$48,MATCH(I97,HELPER!$F$8:$F$48,-1)),""))</f>
        <v/>
      </c>
      <c r="K97" s="179"/>
      <c r="L97" s="131"/>
      <c r="M97" s="131"/>
    </row>
    <row r="98" spans="1:13" ht="15" customHeight="1" x14ac:dyDescent="0.25">
      <c r="A98" s="131"/>
      <c r="B98" s="185">
        <v>34</v>
      </c>
      <c r="C98" s="260" t="str">
        <f>IF('INPUT DATA'!N44="","",'INPUT DATA'!N44)</f>
        <v/>
      </c>
      <c r="D98" s="246"/>
      <c r="E98" s="246"/>
      <c r="F98" s="110" t="str">
        <f>IF('TERM 1'!AC102="","",'TERM 1'!AC102)</f>
        <v/>
      </c>
      <c r="G98" s="111" t="str">
        <f>IF('TERM 2'!AC102="","",'TERM 2'!AC102)</f>
        <v/>
      </c>
      <c r="H98" s="122" t="str">
        <f>IF('TERM 3'!AC102="","",'TERM 3'!AC102)</f>
        <v/>
      </c>
      <c r="I98" s="115" t="str">
        <f t="shared" si="1"/>
        <v/>
      </c>
      <c r="J98" s="114" t="str">
        <f>IF(I98="","",IFERROR(INDEX(HELPER!$G$8:$G$48,MATCH(I98,HELPER!$F$8:$F$48,-1)),""))</f>
        <v/>
      </c>
      <c r="K98" s="179"/>
      <c r="L98" s="131"/>
      <c r="M98" s="131"/>
    </row>
    <row r="99" spans="1:13" ht="15" customHeight="1" x14ac:dyDescent="0.25">
      <c r="A99" s="131"/>
      <c r="B99" s="185">
        <v>35</v>
      </c>
      <c r="C99" s="260" t="str">
        <f>IF('INPUT DATA'!N45="","",'INPUT DATA'!N45)</f>
        <v/>
      </c>
      <c r="D99" s="246"/>
      <c r="E99" s="246"/>
      <c r="F99" s="110" t="str">
        <f>IF('TERM 1'!AC103="","",'TERM 1'!AC103)</f>
        <v/>
      </c>
      <c r="G99" s="111" t="str">
        <f>IF('TERM 2'!AC103="","",'TERM 2'!AC103)</f>
        <v/>
      </c>
      <c r="H99" s="122" t="str">
        <f>IF('TERM 3'!AC103="","",'TERM 3'!AC103)</f>
        <v/>
      </c>
      <c r="I99" s="115" t="str">
        <f t="shared" si="1"/>
        <v/>
      </c>
      <c r="J99" s="114" t="str">
        <f>IF(I99="","",IFERROR(INDEX(HELPER!$G$8:$G$48,MATCH(I99,HELPER!$F$8:$F$48,-1)),""))</f>
        <v/>
      </c>
      <c r="K99" s="179"/>
      <c r="L99" s="131"/>
      <c r="M99" s="131"/>
    </row>
    <row r="100" spans="1:13" ht="15" customHeight="1" x14ac:dyDescent="0.25">
      <c r="A100" s="131"/>
      <c r="B100" s="185">
        <v>36</v>
      </c>
      <c r="C100" s="260" t="str">
        <f>IF('INPUT DATA'!N46="","",'INPUT DATA'!N46)</f>
        <v/>
      </c>
      <c r="D100" s="246"/>
      <c r="E100" s="246"/>
      <c r="F100" s="110" t="str">
        <f>IF('TERM 1'!AC104="","",'TERM 1'!AC104)</f>
        <v/>
      </c>
      <c r="G100" s="111" t="str">
        <f>IF('TERM 2'!AC104="","",'TERM 2'!AC104)</f>
        <v/>
      </c>
      <c r="H100" s="122" t="str">
        <f>IF('TERM 3'!AC104="","",'TERM 3'!AC104)</f>
        <v/>
      </c>
      <c r="I100" s="115" t="str">
        <f t="shared" si="1"/>
        <v/>
      </c>
      <c r="J100" s="114" t="str">
        <f>IF(I100="","",IFERROR(INDEX(HELPER!$G$8:$G$48,MATCH(I100,HELPER!$F$8:$F$48,-1)),""))</f>
        <v/>
      </c>
      <c r="K100" s="179"/>
      <c r="L100" s="131"/>
      <c r="M100" s="131"/>
    </row>
    <row r="101" spans="1:13" ht="15" customHeight="1" x14ac:dyDescent="0.25">
      <c r="A101" s="131"/>
      <c r="B101" s="185">
        <v>37</v>
      </c>
      <c r="C101" s="260" t="str">
        <f>IF('INPUT DATA'!N47="","",'INPUT DATA'!N47)</f>
        <v/>
      </c>
      <c r="D101" s="246"/>
      <c r="E101" s="246"/>
      <c r="F101" s="110" t="str">
        <f>IF('TERM 1'!AC105="","",'TERM 1'!AC105)</f>
        <v/>
      </c>
      <c r="G101" s="111" t="str">
        <f>IF('TERM 2'!AC105="","",'TERM 2'!AC105)</f>
        <v/>
      </c>
      <c r="H101" s="122" t="str">
        <f>IF('TERM 3'!AC105="","",'TERM 3'!AC105)</f>
        <v/>
      </c>
      <c r="I101" s="115" t="str">
        <f t="shared" si="1"/>
        <v/>
      </c>
      <c r="J101" s="114" t="str">
        <f>IF(I101="","",IFERROR(INDEX(HELPER!$G$8:$G$48,MATCH(I101,HELPER!$F$8:$F$48,-1)),""))</f>
        <v/>
      </c>
      <c r="K101" s="179"/>
      <c r="L101" s="131"/>
      <c r="M101" s="131"/>
    </row>
    <row r="102" spans="1:13" ht="15" customHeight="1" x14ac:dyDescent="0.25">
      <c r="A102" s="131"/>
      <c r="B102" s="185">
        <v>38</v>
      </c>
      <c r="C102" s="260" t="str">
        <f>IF('INPUT DATA'!N48="","",'INPUT DATA'!N48)</f>
        <v/>
      </c>
      <c r="D102" s="246"/>
      <c r="E102" s="246"/>
      <c r="F102" s="110" t="str">
        <f>IF('TERM 1'!AC106="","",'TERM 1'!AC106)</f>
        <v/>
      </c>
      <c r="G102" s="111" t="str">
        <f>IF('TERM 2'!AC106="","",'TERM 2'!AC106)</f>
        <v/>
      </c>
      <c r="H102" s="122" t="str">
        <f>IF('TERM 3'!AC106="","",'TERM 3'!AC106)</f>
        <v/>
      </c>
      <c r="I102" s="115" t="str">
        <f t="shared" si="1"/>
        <v/>
      </c>
      <c r="J102" s="114" t="str">
        <f>IF(I102="","",IFERROR(INDEX(HELPER!$G$8:$G$48,MATCH(I102,HELPER!$F$8:$F$48,-1)),""))</f>
        <v/>
      </c>
      <c r="K102" s="179"/>
      <c r="L102" s="131"/>
      <c r="M102" s="131"/>
    </row>
    <row r="103" spans="1:13" ht="15" customHeight="1" x14ac:dyDescent="0.25">
      <c r="A103" s="131"/>
      <c r="B103" s="185">
        <v>39</v>
      </c>
      <c r="C103" s="260" t="str">
        <f>IF('INPUT DATA'!N49="","",'INPUT DATA'!N49)</f>
        <v/>
      </c>
      <c r="D103" s="246"/>
      <c r="E103" s="246"/>
      <c r="F103" s="110" t="str">
        <f>IF('TERM 1'!AC107="","",'TERM 1'!AC107)</f>
        <v/>
      </c>
      <c r="G103" s="111" t="str">
        <f>IF('TERM 2'!AC107="","",'TERM 2'!AC107)</f>
        <v/>
      </c>
      <c r="H103" s="122" t="str">
        <f>IF('TERM 3'!AC107="","",'TERM 3'!AC107)</f>
        <v/>
      </c>
      <c r="I103" s="115" t="str">
        <f t="shared" si="1"/>
        <v/>
      </c>
      <c r="J103" s="114" t="str">
        <f>IF(I103="","",IFERROR(INDEX(HELPER!$G$8:$G$48,MATCH(I103,HELPER!$F$8:$F$48,-1)),""))</f>
        <v/>
      </c>
      <c r="K103" s="179"/>
      <c r="L103" s="131"/>
      <c r="M103" s="131"/>
    </row>
    <row r="104" spans="1:13" ht="15" customHeight="1" x14ac:dyDescent="0.25">
      <c r="A104" s="131"/>
      <c r="B104" s="185">
        <v>40</v>
      </c>
      <c r="C104" s="260" t="str">
        <f>IF('INPUT DATA'!N50="","",'INPUT DATA'!N50)</f>
        <v/>
      </c>
      <c r="D104" s="246"/>
      <c r="E104" s="246"/>
      <c r="F104" s="110" t="str">
        <f>IF('TERM 1'!AC108="","",'TERM 1'!AC108)</f>
        <v/>
      </c>
      <c r="G104" s="111" t="str">
        <f>IF('TERM 2'!AC108="","",'TERM 2'!AC108)</f>
        <v/>
      </c>
      <c r="H104" s="122" t="str">
        <f>IF('TERM 3'!AC108="","",'TERM 3'!AC108)</f>
        <v/>
      </c>
      <c r="I104" s="115" t="str">
        <f t="shared" si="1"/>
        <v/>
      </c>
      <c r="J104" s="114" t="str">
        <f>IF(I104="","",IFERROR(INDEX(HELPER!$G$8:$G$48,MATCH(I104,HELPER!$F$8:$F$48,-1)),""))</f>
        <v/>
      </c>
      <c r="K104" s="179"/>
      <c r="L104" s="131"/>
      <c r="M104" s="131"/>
    </row>
    <row r="105" spans="1:13" ht="15" customHeight="1" x14ac:dyDescent="0.25">
      <c r="A105" s="131"/>
      <c r="B105" s="185">
        <v>41</v>
      </c>
      <c r="C105" s="260" t="str">
        <f>IF('INPUT DATA'!N51="","",'INPUT DATA'!N51)</f>
        <v/>
      </c>
      <c r="D105" s="246"/>
      <c r="E105" s="246"/>
      <c r="F105" s="110" t="str">
        <f>IF('TERM 1'!AC109="","",'TERM 1'!AC109)</f>
        <v/>
      </c>
      <c r="G105" s="111" t="str">
        <f>IF('TERM 2'!AC109="","",'TERM 2'!AC109)</f>
        <v/>
      </c>
      <c r="H105" s="122" t="str">
        <f>IF('TERM 3'!AC109="","",'TERM 3'!AC109)</f>
        <v/>
      </c>
      <c r="I105" s="115" t="str">
        <f t="shared" si="1"/>
        <v/>
      </c>
      <c r="J105" s="114" t="str">
        <f>IF(I105="","",IFERROR(INDEX(HELPER!$G$8:$G$48,MATCH(I105,HELPER!$F$8:$F$48,-1)),""))</f>
        <v/>
      </c>
      <c r="K105" s="179"/>
      <c r="L105" s="131"/>
      <c r="M105" s="131"/>
    </row>
    <row r="106" spans="1:13" ht="15" customHeight="1" x14ac:dyDescent="0.25">
      <c r="A106" s="131"/>
      <c r="B106" s="185">
        <v>42</v>
      </c>
      <c r="C106" s="260" t="str">
        <f>IF('INPUT DATA'!N52="","",'INPUT DATA'!N52)</f>
        <v/>
      </c>
      <c r="D106" s="246"/>
      <c r="E106" s="246"/>
      <c r="F106" s="110" t="str">
        <f>IF('TERM 1'!AC110="","",'TERM 1'!AC110)</f>
        <v/>
      </c>
      <c r="G106" s="111" t="str">
        <f>IF('TERM 2'!AC110="","",'TERM 2'!AC110)</f>
        <v/>
      </c>
      <c r="H106" s="122" t="str">
        <f>IF('TERM 3'!AC110="","",'TERM 3'!AC110)</f>
        <v/>
      </c>
      <c r="I106" s="115" t="str">
        <f t="shared" si="1"/>
        <v/>
      </c>
      <c r="J106" s="114" t="str">
        <f>IF(I106="","",IFERROR(INDEX(HELPER!$G$8:$G$48,MATCH(I106,HELPER!$F$8:$F$48,-1)),""))</f>
        <v/>
      </c>
      <c r="K106" s="179"/>
      <c r="L106" s="131"/>
      <c r="M106" s="131"/>
    </row>
    <row r="107" spans="1:13" ht="15" customHeight="1" x14ac:dyDescent="0.25">
      <c r="A107" s="131"/>
      <c r="B107" s="185">
        <v>43</v>
      </c>
      <c r="C107" s="260" t="str">
        <f>IF('INPUT DATA'!N53="","",'INPUT DATA'!N53)</f>
        <v/>
      </c>
      <c r="D107" s="246"/>
      <c r="E107" s="246"/>
      <c r="F107" s="110" t="str">
        <f>IF('TERM 1'!AC111="","",'TERM 1'!AC111)</f>
        <v/>
      </c>
      <c r="G107" s="111" t="str">
        <f>IF('TERM 2'!AC111="","",'TERM 2'!AC111)</f>
        <v/>
      </c>
      <c r="H107" s="122" t="str">
        <f>IF('TERM 3'!AC111="","",'TERM 3'!AC111)</f>
        <v/>
      </c>
      <c r="I107" s="115" t="str">
        <f t="shared" si="1"/>
        <v/>
      </c>
      <c r="J107" s="114" t="str">
        <f>IF(I107="","",IFERROR(INDEX(HELPER!$G$8:$G$48,MATCH(I107,HELPER!$F$8:$F$48,-1)),""))</f>
        <v/>
      </c>
      <c r="K107" s="179"/>
      <c r="L107" s="131"/>
      <c r="M107" s="131"/>
    </row>
    <row r="108" spans="1:13" ht="15" customHeight="1" x14ac:dyDescent="0.25">
      <c r="A108" s="131"/>
      <c r="B108" s="185">
        <v>44</v>
      </c>
      <c r="C108" s="260" t="str">
        <f>IF('INPUT DATA'!N54="","",'INPUT DATA'!N54)</f>
        <v/>
      </c>
      <c r="D108" s="246"/>
      <c r="E108" s="246"/>
      <c r="F108" s="110" t="str">
        <f>IF('TERM 1'!AC112="","",'TERM 1'!AC112)</f>
        <v/>
      </c>
      <c r="G108" s="111" t="str">
        <f>IF('TERM 2'!AC112="","",'TERM 2'!AC112)</f>
        <v/>
      </c>
      <c r="H108" s="122" t="str">
        <f>IF('TERM 3'!AC112="","",'TERM 3'!AC112)</f>
        <v/>
      </c>
      <c r="I108" s="115" t="str">
        <f t="shared" si="1"/>
        <v/>
      </c>
      <c r="J108" s="114" t="str">
        <f>IF(I108="","",IFERROR(INDEX(HELPER!$G$8:$G$48,MATCH(I108,HELPER!$F$8:$F$48,-1)),""))</f>
        <v/>
      </c>
      <c r="K108" s="179"/>
      <c r="L108" s="131"/>
      <c r="M108" s="131"/>
    </row>
    <row r="109" spans="1:13" ht="15" customHeight="1" x14ac:dyDescent="0.25">
      <c r="A109" s="131"/>
      <c r="B109" s="185">
        <v>45</v>
      </c>
      <c r="C109" s="260" t="str">
        <f>IF('INPUT DATA'!N55="","",'INPUT DATA'!N55)</f>
        <v/>
      </c>
      <c r="D109" s="246"/>
      <c r="E109" s="246"/>
      <c r="F109" s="110" t="str">
        <f>IF('TERM 1'!AC113="","",'TERM 1'!AC113)</f>
        <v/>
      </c>
      <c r="G109" s="111" t="str">
        <f>IF('TERM 2'!AC113="","",'TERM 2'!AC113)</f>
        <v/>
      </c>
      <c r="H109" s="122" t="str">
        <f>IF('TERM 3'!AC113="","",'TERM 3'!AC113)</f>
        <v/>
      </c>
      <c r="I109" s="115" t="str">
        <f t="shared" si="1"/>
        <v/>
      </c>
      <c r="J109" s="114" t="str">
        <f>IF(I109="","",IFERROR(INDEX(HELPER!$G$8:$G$48,MATCH(I109,HELPER!$F$8:$F$48,-1)),""))</f>
        <v/>
      </c>
      <c r="K109" s="179"/>
      <c r="L109" s="131"/>
      <c r="M109" s="131"/>
    </row>
    <row r="110" spans="1:13" ht="15" customHeight="1" x14ac:dyDescent="0.25">
      <c r="A110" s="131"/>
      <c r="B110" s="185">
        <v>46</v>
      </c>
      <c r="C110" s="260" t="str">
        <f>IF('INPUT DATA'!N56="","",'INPUT DATA'!N56)</f>
        <v/>
      </c>
      <c r="D110" s="246"/>
      <c r="E110" s="246"/>
      <c r="F110" s="110" t="str">
        <f>IF('TERM 1'!AC114="","",'TERM 1'!AC114)</f>
        <v/>
      </c>
      <c r="G110" s="111" t="str">
        <f>IF('TERM 2'!AC114="","",'TERM 2'!AC114)</f>
        <v/>
      </c>
      <c r="H110" s="122" t="str">
        <f>IF('TERM 3'!AC114="","",'TERM 3'!AC114)</f>
        <v/>
      </c>
      <c r="I110" s="115" t="str">
        <f t="shared" si="1"/>
        <v/>
      </c>
      <c r="J110" s="114" t="str">
        <f>IF(I110="","",IFERROR(INDEX(HELPER!$G$8:$G$48,MATCH(I110,HELPER!$F$8:$F$48,-1)),""))</f>
        <v/>
      </c>
      <c r="K110" s="179"/>
      <c r="L110" s="131"/>
      <c r="M110" s="131"/>
    </row>
    <row r="111" spans="1:13" ht="15" customHeight="1" x14ac:dyDescent="0.25">
      <c r="A111" s="131"/>
      <c r="B111" s="185">
        <v>47</v>
      </c>
      <c r="C111" s="260" t="str">
        <f>IF('INPUT DATA'!N57="","",'INPUT DATA'!N57)</f>
        <v/>
      </c>
      <c r="D111" s="246"/>
      <c r="E111" s="246"/>
      <c r="F111" s="110" t="str">
        <f>IF('TERM 1'!AC115="","",'TERM 1'!AC115)</f>
        <v/>
      </c>
      <c r="G111" s="111" t="str">
        <f>IF('TERM 2'!AC115="","",'TERM 2'!AC115)</f>
        <v/>
      </c>
      <c r="H111" s="122" t="str">
        <f>IF('TERM 3'!AC115="","",'TERM 3'!AC115)</f>
        <v/>
      </c>
      <c r="I111" s="115" t="str">
        <f t="shared" si="1"/>
        <v/>
      </c>
      <c r="J111" s="114" t="str">
        <f>IF(I111="","",IFERROR(INDEX(HELPER!$G$8:$G$48,MATCH(I111,HELPER!$F$8:$F$48,-1)),""))</f>
        <v/>
      </c>
      <c r="K111" s="179"/>
      <c r="L111" s="131"/>
      <c r="M111" s="131"/>
    </row>
    <row r="112" spans="1:13" ht="15" customHeight="1" x14ac:dyDescent="0.25">
      <c r="A112" s="131"/>
      <c r="B112" s="185">
        <v>48</v>
      </c>
      <c r="C112" s="260" t="str">
        <f>IF('INPUT DATA'!N58="","",'INPUT DATA'!N58)</f>
        <v/>
      </c>
      <c r="D112" s="246"/>
      <c r="E112" s="246"/>
      <c r="F112" s="110" t="str">
        <f>IF('TERM 1'!AC116="","",'TERM 1'!AC116)</f>
        <v/>
      </c>
      <c r="G112" s="111" t="str">
        <f>IF('TERM 2'!AC116="","",'TERM 2'!AC116)</f>
        <v/>
      </c>
      <c r="H112" s="122" t="str">
        <f>IF('TERM 3'!AC116="","",'TERM 3'!AC116)</f>
        <v/>
      </c>
      <c r="I112" s="115" t="str">
        <f t="shared" si="1"/>
        <v/>
      </c>
      <c r="J112" s="114" t="str">
        <f>IF(I112="","",IFERROR(INDEX(HELPER!$G$8:$G$48,MATCH(I112,HELPER!$F$8:$F$48,-1)),""))</f>
        <v/>
      </c>
      <c r="K112" s="179"/>
      <c r="L112" s="131"/>
      <c r="M112" s="131"/>
    </row>
    <row r="113" spans="1:13" ht="15" customHeight="1" x14ac:dyDescent="0.25">
      <c r="A113" s="131"/>
      <c r="B113" s="185">
        <v>49</v>
      </c>
      <c r="C113" s="260" t="str">
        <f>IF('INPUT DATA'!N59="","",'INPUT DATA'!N59)</f>
        <v/>
      </c>
      <c r="D113" s="246"/>
      <c r="E113" s="246"/>
      <c r="F113" s="110" t="str">
        <f>IF('TERM 1'!AC117="","",'TERM 1'!AC117)</f>
        <v/>
      </c>
      <c r="G113" s="111" t="str">
        <f>IF('TERM 2'!AC117="","",'TERM 2'!AC117)</f>
        <v/>
      </c>
      <c r="H113" s="122" t="str">
        <f>IF('TERM 3'!AC117="","",'TERM 3'!AC117)</f>
        <v/>
      </c>
      <c r="I113" s="115" t="str">
        <f t="shared" si="1"/>
        <v/>
      </c>
      <c r="J113" s="114" t="str">
        <f>IF(I113="","",IFERROR(INDEX(HELPER!$G$8:$G$48,MATCH(I113,HELPER!$F$8:$F$48,-1)),""))</f>
        <v/>
      </c>
      <c r="K113" s="179"/>
      <c r="L113" s="131"/>
      <c r="M113" s="131"/>
    </row>
    <row r="114" spans="1:13" ht="15" customHeight="1" thickBot="1" x14ac:dyDescent="0.3">
      <c r="A114" s="131"/>
      <c r="B114" s="186">
        <v>50</v>
      </c>
      <c r="C114" s="270" t="str">
        <f>IF('INPUT DATA'!N60="","",'INPUT DATA'!N60)</f>
        <v/>
      </c>
      <c r="D114" s="271"/>
      <c r="E114" s="271"/>
      <c r="F114" s="116" t="str">
        <f>IF('TERM 1'!AC118="","",'TERM 1'!AC118)</f>
        <v/>
      </c>
      <c r="G114" s="117" t="str">
        <f>IF('TERM 2'!AC118="","",'TERM 2'!AC118)</f>
        <v/>
      </c>
      <c r="H114" s="123" t="str">
        <f>IF('TERM 3'!AC118="","",'TERM 3'!AC118)</f>
        <v/>
      </c>
      <c r="I114" s="119" t="str">
        <f t="shared" si="1"/>
        <v/>
      </c>
      <c r="J114" s="124" t="str">
        <f>IF(I114="","",IFERROR(INDEX(HELPER!$G$8:$G$48,MATCH(I114,HELPER!$F$8:$F$48,-1)),""))</f>
        <v/>
      </c>
      <c r="K114" s="187"/>
      <c r="L114" s="131"/>
      <c r="M114" s="131"/>
    </row>
    <row r="115" spans="1:13" ht="13.2" customHeight="1" x14ac:dyDescent="0.25">
      <c r="A115" s="131"/>
      <c r="B115" s="131"/>
      <c r="C115" s="258"/>
      <c r="D115" s="213"/>
      <c r="E115" s="213"/>
      <c r="F115" s="131"/>
      <c r="G115" s="131"/>
      <c r="H115" s="131"/>
      <c r="I115" s="131"/>
      <c r="J115" s="131"/>
      <c r="K115" s="131"/>
      <c r="L115" s="131"/>
      <c r="M115" s="131"/>
    </row>
    <row r="116" spans="1:13" ht="13.2" customHeight="1" x14ac:dyDescent="0.25">
      <c r="A116" s="131"/>
      <c r="B116" s="131"/>
      <c r="C116" s="131"/>
      <c r="D116" s="131"/>
      <c r="E116" s="131"/>
      <c r="F116" s="131"/>
      <c r="G116" s="131"/>
      <c r="H116" s="131"/>
      <c r="I116" s="131"/>
      <c r="J116" s="131"/>
      <c r="K116" s="131"/>
      <c r="L116" s="131"/>
      <c r="M116" s="131"/>
    </row>
    <row r="117" spans="1:13" ht="13.2" customHeight="1" x14ac:dyDescent="0.25">
      <c r="F117" s="188"/>
      <c r="G117" s="188"/>
      <c r="H117" s="188"/>
      <c r="I117" s="188"/>
      <c r="J117" s="188"/>
      <c r="K117" s="188"/>
    </row>
  </sheetData>
  <sheetProtection algorithmName="SHA-512" hashValue="ECHh00P+otS4DolLLjKlPiXLBOQ3px0To6Ge/j+YEfZaRq22Bq1Lz5gZIx1J6f4tCmp/IhKb/WR3/Rd0QPGlHA==" saltValue="GLftdwutl5eszqMSNz3lsA==" spinCount="100000" sheet="1" objects="1" scenarios="1" formatCells="0" formatColumns="0" formatRows="0"/>
  <mergeCells count="122">
    <mergeCell ref="C21:E21"/>
    <mergeCell ref="C104:E104"/>
    <mergeCell ref="C79:E79"/>
    <mergeCell ref="G5:H5"/>
    <mergeCell ref="C17:E17"/>
    <mergeCell ref="C19:E19"/>
    <mergeCell ref="C25:E25"/>
    <mergeCell ref="C15:E15"/>
    <mergeCell ref="F11:H11"/>
    <mergeCell ref="C108:E108"/>
    <mergeCell ref="C58:E58"/>
    <mergeCell ref="C45:E45"/>
    <mergeCell ref="C97:E97"/>
    <mergeCell ref="C29:E29"/>
    <mergeCell ref="C100:E100"/>
    <mergeCell ref="C109:E109"/>
    <mergeCell ref="C47:E47"/>
    <mergeCell ref="C110:E110"/>
    <mergeCell ref="C82:E82"/>
    <mergeCell ref="C66:E66"/>
    <mergeCell ref="C61:E61"/>
    <mergeCell ref="C103:E103"/>
    <mergeCell ref="C85:E85"/>
    <mergeCell ref="C102:E102"/>
    <mergeCell ref="C53:E53"/>
    <mergeCell ref="C81:E81"/>
    <mergeCell ref="C115:E115"/>
    <mergeCell ref="C36:E36"/>
    <mergeCell ref="K11:K12"/>
    <mergeCell ref="D10:G10"/>
    <mergeCell ref="C67:E67"/>
    <mergeCell ref="C72:E72"/>
    <mergeCell ref="C28:E28"/>
    <mergeCell ref="C37:E37"/>
    <mergeCell ref="C69:E69"/>
    <mergeCell ref="C96:E96"/>
    <mergeCell ref="C78:E78"/>
    <mergeCell ref="C92:E92"/>
    <mergeCell ref="C114:E114"/>
    <mergeCell ref="C59:E59"/>
    <mergeCell ref="C46:E46"/>
    <mergeCell ref="C65:E65"/>
    <mergeCell ref="C52:E52"/>
    <mergeCell ref="C107:E107"/>
    <mergeCell ref="C48:E48"/>
    <mergeCell ref="C106:E106"/>
    <mergeCell ref="C93:E93"/>
    <mergeCell ref="C56:E56"/>
    <mergeCell ref="C90:E90"/>
    <mergeCell ref="B64:K64"/>
    <mergeCell ref="C113:E113"/>
    <mergeCell ref="C34:E34"/>
    <mergeCell ref="C42:E42"/>
    <mergeCell ref="C77:E77"/>
    <mergeCell ref="C24:E24"/>
    <mergeCell ref="N13:Q13"/>
    <mergeCell ref="C55:E55"/>
    <mergeCell ref="B2:K3"/>
    <mergeCell ref="D5:E5"/>
    <mergeCell ref="J5:K5"/>
    <mergeCell ref="C105:E105"/>
    <mergeCell ref="C43:E43"/>
    <mergeCell ref="D6:H6"/>
    <mergeCell ref="C27:E27"/>
    <mergeCell ref="C76:E76"/>
    <mergeCell ref="J6:K6"/>
    <mergeCell ref="I9:K9"/>
    <mergeCell ref="B9:C9"/>
    <mergeCell ref="C30:E30"/>
    <mergeCell ref="C62:E62"/>
    <mergeCell ref="C14:E14"/>
    <mergeCell ref="C98:E98"/>
    <mergeCell ref="B10:C10"/>
    <mergeCell ref="C20:E20"/>
    <mergeCell ref="C112:E112"/>
    <mergeCell ref="C99:E99"/>
    <mergeCell ref="C94:E94"/>
    <mergeCell ref="C75:E75"/>
    <mergeCell ref="C84:E84"/>
    <mergeCell ref="C22:E22"/>
    <mergeCell ref="C39:E39"/>
    <mergeCell ref="C32:E32"/>
    <mergeCell ref="C38:E38"/>
    <mergeCell ref="C57:E57"/>
    <mergeCell ref="C87:E87"/>
    <mergeCell ref="C89:E89"/>
    <mergeCell ref="C101:E101"/>
    <mergeCell ref="C95:E95"/>
    <mergeCell ref="C91:E91"/>
    <mergeCell ref="C70:E70"/>
    <mergeCell ref="C35:E35"/>
    <mergeCell ref="C31:E31"/>
    <mergeCell ref="C40:E40"/>
    <mergeCell ref="C33:E33"/>
    <mergeCell ref="C111:E111"/>
    <mergeCell ref="C86:E86"/>
    <mergeCell ref="C68:E68"/>
    <mergeCell ref="C83:E83"/>
    <mergeCell ref="I11:I12"/>
    <mergeCell ref="C73:E73"/>
    <mergeCell ref="C88:E88"/>
    <mergeCell ref="C80:E80"/>
    <mergeCell ref="B8:K8"/>
    <mergeCell ref="C74:E74"/>
    <mergeCell ref="I10:K10"/>
    <mergeCell ref="B13:K13"/>
    <mergeCell ref="C26:E26"/>
    <mergeCell ref="C18:E18"/>
    <mergeCell ref="C49:E49"/>
    <mergeCell ref="C51:E51"/>
    <mergeCell ref="J11:J12"/>
    <mergeCell ref="C60:E60"/>
    <mergeCell ref="C71:E71"/>
    <mergeCell ref="C23:E23"/>
    <mergeCell ref="C63:E63"/>
    <mergeCell ref="C16:E16"/>
    <mergeCell ref="C50:E50"/>
    <mergeCell ref="C44:E44"/>
    <mergeCell ref="C54:E54"/>
    <mergeCell ref="C41:E41"/>
    <mergeCell ref="D9:G9"/>
    <mergeCell ref="B11: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2:I50"/>
  <sheetViews>
    <sheetView showGridLines="0" workbookViewId="0"/>
  </sheetViews>
  <sheetFormatPr defaultColWidth="12.6640625" defaultRowHeight="13.2" x14ac:dyDescent="0.25"/>
  <cols>
    <col min="1" max="1" width="3.88671875" style="68" customWidth="1"/>
    <col min="2" max="3" width="15.109375" style="68" customWidth="1"/>
    <col min="4" max="4" width="21.109375" style="68" customWidth="1"/>
    <col min="6" max="7" width="17.44140625" style="68" customWidth="1"/>
    <col min="8" max="8" width="25.44140625" style="68" customWidth="1"/>
    <col min="9" max="9" width="3.88671875" style="68" customWidth="1"/>
  </cols>
  <sheetData>
    <row r="2" spans="1:9" s="68" customFormat="1" ht="37.200000000000003" customHeight="1" x14ac:dyDescent="0.65">
      <c r="B2" s="18" t="s">
        <v>48</v>
      </c>
      <c r="C2" s="19"/>
    </row>
    <row r="3" spans="1:9" s="68" customFormat="1" ht="36" customHeight="1" x14ac:dyDescent="0.5">
      <c r="B3" s="20" t="s">
        <v>49</v>
      </c>
      <c r="C3" s="19"/>
    </row>
    <row r="5" spans="1:9" s="68" customFormat="1" ht="15.75" customHeight="1" x14ac:dyDescent="0.25"/>
    <row r="6" spans="1:9" s="68" customFormat="1" ht="15.75" customHeight="1" x14ac:dyDescent="0.3">
      <c r="A6" s="21"/>
      <c r="B6" s="280" t="s">
        <v>50</v>
      </c>
      <c r="C6" s="190"/>
      <c r="D6" s="190"/>
      <c r="E6" s="22"/>
      <c r="F6" s="282" t="s">
        <v>43</v>
      </c>
      <c r="G6" s="198"/>
      <c r="H6" s="199"/>
      <c r="I6" s="21"/>
    </row>
    <row r="7" spans="1:9" s="68" customFormat="1" ht="15.75" customHeight="1" x14ac:dyDescent="0.3">
      <c r="B7" s="51" t="s">
        <v>51</v>
      </c>
      <c r="C7" s="52" t="s">
        <v>52</v>
      </c>
      <c r="D7" s="53" t="s">
        <v>53</v>
      </c>
      <c r="E7" s="22"/>
      <c r="F7" s="56" t="s">
        <v>54</v>
      </c>
      <c r="G7" s="57" t="s">
        <v>27</v>
      </c>
      <c r="H7" s="58" t="s">
        <v>55</v>
      </c>
    </row>
    <row r="8" spans="1:9" s="68" customFormat="1" ht="15.75" customHeight="1" x14ac:dyDescent="0.3">
      <c r="B8" s="48">
        <v>99.5</v>
      </c>
      <c r="C8" s="49">
        <v>100</v>
      </c>
      <c r="D8" s="50">
        <v>100</v>
      </c>
      <c r="F8" s="54">
        <v>100</v>
      </c>
      <c r="G8" s="55" t="s">
        <v>56</v>
      </c>
      <c r="H8" s="281" t="s">
        <v>57</v>
      </c>
    </row>
    <row r="9" spans="1:9" s="68" customFormat="1" ht="15.75" customHeight="1" x14ac:dyDescent="0.3">
      <c r="B9" s="42">
        <v>98.32</v>
      </c>
      <c r="C9" s="38">
        <v>99.49</v>
      </c>
      <c r="D9" s="41">
        <v>99</v>
      </c>
      <c r="F9" s="23">
        <v>99</v>
      </c>
      <c r="G9" s="24" t="s">
        <v>56</v>
      </c>
      <c r="H9" s="276"/>
    </row>
    <row r="10" spans="1:9" s="68" customFormat="1" ht="15.75" customHeight="1" x14ac:dyDescent="0.3">
      <c r="B10" s="42">
        <v>97.14</v>
      </c>
      <c r="C10" s="38">
        <v>98.31</v>
      </c>
      <c r="D10" s="41">
        <v>98</v>
      </c>
      <c r="F10" s="23">
        <v>98</v>
      </c>
      <c r="G10" s="24" t="s">
        <v>56</v>
      </c>
      <c r="H10" s="276"/>
    </row>
    <row r="11" spans="1:9" s="68" customFormat="1" ht="15.75" customHeight="1" x14ac:dyDescent="0.3">
      <c r="B11" s="42">
        <v>95.96</v>
      </c>
      <c r="C11" s="38">
        <v>97.13</v>
      </c>
      <c r="D11" s="41">
        <v>97</v>
      </c>
      <c r="F11" s="23">
        <v>97</v>
      </c>
      <c r="G11" s="24" t="s">
        <v>56</v>
      </c>
      <c r="H11" s="276"/>
    </row>
    <row r="12" spans="1:9" s="68" customFormat="1" ht="15.75" customHeight="1" x14ac:dyDescent="0.3">
      <c r="B12" s="42">
        <v>94.78</v>
      </c>
      <c r="C12" s="38">
        <v>95.95</v>
      </c>
      <c r="D12" s="41">
        <v>96</v>
      </c>
      <c r="F12" s="23">
        <v>96</v>
      </c>
      <c r="G12" s="24" t="s">
        <v>56</v>
      </c>
      <c r="H12" s="276"/>
    </row>
    <row r="13" spans="1:9" s="68" customFormat="1" ht="15.75" customHeight="1" x14ac:dyDescent="0.3">
      <c r="B13" s="40">
        <v>93.6</v>
      </c>
      <c r="C13" s="38">
        <v>94.77</v>
      </c>
      <c r="D13" s="41">
        <v>95</v>
      </c>
      <c r="F13" s="23">
        <v>95</v>
      </c>
      <c r="G13" s="24" t="s">
        <v>56</v>
      </c>
      <c r="H13" s="276"/>
    </row>
    <row r="14" spans="1:9" s="68" customFormat="1" ht="15.75" customHeight="1" x14ac:dyDescent="0.3">
      <c r="B14" s="42">
        <v>92.42</v>
      </c>
      <c r="C14" s="38">
        <v>93.59</v>
      </c>
      <c r="D14" s="41">
        <v>94</v>
      </c>
      <c r="F14" s="23">
        <v>94</v>
      </c>
      <c r="G14" s="24" t="s">
        <v>56</v>
      </c>
      <c r="H14" s="276"/>
    </row>
    <row r="15" spans="1:9" s="68" customFormat="1" ht="15.75" customHeight="1" x14ac:dyDescent="0.3">
      <c r="B15" s="42">
        <v>91.24</v>
      </c>
      <c r="C15" s="38">
        <v>92.41</v>
      </c>
      <c r="D15" s="41">
        <v>93</v>
      </c>
      <c r="F15" s="23">
        <v>93</v>
      </c>
      <c r="G15" s="24" t="s">
        <v>56</v>
      </c>
      <c r="H15" s="276"/>
    </row>
    <row r="16" spans="1:9" s="68" customFormat="1" ht="15.75" customHeight="1" x14ac:dyDescent="0.3">
      <c r="B16" s="42">
        <v>90.06</v>
      </c>
      <c r="C16" s="38">
        <v>91.23</v>
      </c>
      <c r="D16" s="41">
        <v>92</v>
      </c>
      <c r="F16" s="23">
        <v>92</v>
      </c>
      <c r="G16" s="24" t="s">
        <v>56</v>
      </c>
      <c r="H16" s="276"/>
    </row>
    <row r="17" spans="2:8" s="68" customFormat="1" ht="15.75" customHeight="1" x14ac:dyDescent="0.3">
      <c r="B17" s="42">
        <v>88.88</v>
      </c>
      <c r="C17" s="38">
        <v>90.05</v>
      </c>
      <c r="D17" s="41">
        <v>91</v>
      </c>
      <c r="F17" s="23">
        <v>91</v>
      </c>
      <c r="G17" s="24" t="s">
        <v>56</v>
      </c>
      <c r="H17" s="276"/>
    </row>
    <row r="18" spans="2:8" s="68" customFormat="1" ht="15.75" customHeight="1" x14ac:dyDescent="0.3">
      <c r="B18" s="40">
        <v>87.7</v>
      </c>
      <c r="C18" s="38">
        <v>88.87</v>
      </c>
      <c r="D18" s="41">
        <v>90</v>
      </c>
      <c r="F18" s="23">
        <v>90</v>
      </c>
      <c r="G18" s="24" t="s">
        <v>56</v>
      </c>
      <c r="H18" s="279"/>
    </row>
    <row r="19" spans="2:8" s="68" customFormat="1" ht="15.75" customHeight="1" x14ac:dyDescent="0.3">
      <c r="B19" s="42">
        <v>86.52</v>
      </c>
      <c r="C19" s="38">
        <v>87.69</v>
      </c>
      <c r="D19" s="41">
        <v>89</v>
      </c>
      <c r="F19" s="23">
        <v>89</v>
      </c>
      <c r="G19" s="24" t="s">
        <v>58</v>
      </c>
      <c r="H19" s="278" t="s">
        <v>59</v>
      </c>
    </row>
    <row r="20" spans="2:8" s="68" customFormat="1" ht="15.75" customHeight="1" x14ac:dyDescent="0.3">
      <c r="B20" s="42">
        <v>85.34</v>
      </c>
      <c r="C20" s="38">
        <v>86.51</v>
      </c>
      <c r="D20" s="41">
        <v>88</v>
      </c>
      <c r="F20" s="23">
        <v>88</v>
      </c>
      <c r="G20" s="24" t="s">
        <v>58</v>
      </c>
      <c r="H20" s="276"/>
    </row>
    <row r="21" spans="2:8" s="68" customFormat="1" ht="15.75" customHeight="1" x14ac:dyDescent="0.3">
      <c r="B21" s="42">
        <v>84.16</v>
      </c>
      <c r="C21" s="38">
        <v>85.33</v>
      </c>
      <c r="D21" s="41">
        <v>87</v>
      </c>
      <c r="F21" s="23">
        <v>87</v>
      </c>
      <c r="G21" s="24" t="s">
        <v>58</v>
      </c>
      <c r="H21" s="276"/>
    </row>
    <row r="22" spans="2:8" s="68" customFormat="1" ht="15.75" customHeight="1" x14ac:dyDescent="0.3">
      <c r="B22" s="42">
        <v>82.98</v>
      </c>
      <c r="C22" s="38">
        <v>84.15</v>
      </c>
      <c r="D22" s="41">
        <v>86</v>
      </c>
      <c r="F22" s="23">
        <v>86</v>
      </c>
      <c r="G22" s="24" t="s">
        <v>58</v>
      </c>
      <c r="H22" s="276"/>
    </row>
    <row r="23" spans="2:8" s="68" customFormat="1" ht="15.75" customHeight="1" x14ac:dyDescent="0.3">
      <c r="B23" s="42">
        <v>81.8</v>
      </c>
      <c r="C23" s="38">
        <v>82.97</v>
      </c>
      <c r="D23" s="41">
        <v>85</v>
      </c>
      <c r="F23" s="23">
        <v>85</v>
      </c>
      <c r="G23" s="24" t="s">
        <v>58</v>
      </c>
      <c r="H23" s="276"/>
    </row>
    <row r="24" spans="2:8" s="68" customFormat="1" ht="15.75" customHeight="1" x14ac:dyDescent="0.3">
      <c r="B24" s="42">
        <v>80.62</v>
      </c>
      <c r="C24" s="38">
        <v>81.790000000000006</v>
      </c>
      <c r="D24" s="41">
        <v>84</v>
      </c>
      <c r="F24" s="23">
        <v>84</v>
      </c>
      <c r="G24" s="24" t="s">
        <v>58</v>
      </c>
      <c r="H24" s="276"/>
    </row>
    <row r="25" spans="2:8" s="68" customFormat="1" ht="15.75" customHeight="1" x14ac:dyDescent="0.3">
      <c r="B25" s="42">
        <v>79.44</v>
      </c>
      <c r="C25" s="38">
        <v>80.61</v>
      </c>
      <c r="D25" s="41">
        <v>83</v>
      </c>
      <c r="F25" s="23">
        <v>83</v>
      </c>
      <c r="G25" s="24" t="s">
        <v>58</v>
      </c>
      <c r="H25" s="276"/>
    </row>
    <row r="26" spans="2:8" s="68" customFormat="1" ht="15.75" customHeight="1" x14ac:dyDescent="0.3">
      <c r="B26" s="42">
        <v>78.260000000000005</v>
      </c>
      <c r="C26" s="38">
        <v>79.430000000000007</v>
      </c>
      <c r="D26" s="41">
        <v>82</v>
      </c>
      <c r="F26" s="23">
        <v>82</v>
      </c>
      <c r="G26" s="24" t="s">
        <v>58</v>
      </c>
      <c r="H26" s="276"/>
    </row>
    <row r="27" spans="2:8" s="68" customFormat="1" ht="15.75" customHeight="1" x14ac:dyDescent="0.3">
      <c r="B27" s="42">
        <v>77.08</v>
      </c>
      <c r="C27" s="38">
        <v>78.25</v>
      </c>
      <c r="D27" s="41">
        <v>81</v>
      </c>
      <c r="F27" s="23">
        <v>81</v>
      </c>
      <c r="G27" s="24" t="s">
        <v>58</v>
      </c>
      <c r="H27" s="276"/>
    </row>
    <row r="28" spans="2:8" s="68" customFormat="1" ht="15.75" customHeight="1" x14ac:dyDescent="0.3">
      <c r="B28" s="42">
        <v>75.900000000000006</v>
      </c>
      <c r="C28" s="38">
        <v>77.069999999999993</v>
      </c>
      <c r="D28" s="41">
        <v>80</v>
      </c>
      <c r="F28" s="23">
        <v>80</v>
      </c>
      <c r="G28" s="24" t="s">
        <v>58</v>
      </c>
      <c r="H28" s="279"/>
    </row>
    <row r="29" spans="2:8" s="68" customFormat="1" ht="15.75" customHeight="1" x14ac:dyDescent="0.3">
      <c r="B29" s="42">
        <v>74.72</v>
      </c>
      <c r="C29" s="38">
        <v>75.89</v>
      </c>
      <c r="D29" s="41">
        <v>79</v>
      </c>
      <c r="F29" s="23">
        <v>79</v>
      </c>
      <c r="G29" s="24" t="s">
        <v>60</v>
      </c>
      <c r="H29" s="278" t="s">
        <v>61</v>
      </c>
    </row>
    <row r="30" spans="2:8" s="68" customFormat="1" ht="15.75" customHeight="1" x14ac:dyDescent="0.3">
      <c r="B30" s="42">
        <v>73.540000000000006</v>
      </c>
      <c r="C30" s="38">
        <v>74.709999999999994</v>
      </c>
      <c r="D30" s="41">
        <v>78</v>
      </c>
      <c r="F30" s="23">
        <v>78</v>
      </c>
      <c r="G30" s="24" t="s">
        <v>60</v>
      </c>
      <c r="H30" s="276"/>
    </row>
    <row r="31" spans="2:8" s="68" customFormat="1" ht="15.75" customHeight="1" x14ac:dyDescent="0.3">
      <c r="B31" s="42">
        <v>72.36</v>
      </c>
      <c r="C31" s="38">
        <v>73.53</v>
      </c>
      <c r="D31" s="41">
        <v>77</v>
      </c>
      <c r="F31" s="23">
        <v>77</v>
      </c>
      <c r="G31" s="24" t="s">
        <v>60</v>
      </c>
      <c r="H31" s="276"/>
    </row>
    <row r="32" spans="2:8" s="68" customFormat="1" ht="15.75" customHeight="1" x14ac:dyDescent="0.3">
      <c r="B32" s="42">
        <v>71.180000000000007</v>
      </c>
      <c r="C32" s="38">
        <v>72.349999999999994</v>
      </c>
      <c r="D32" s="41">
        <v>76</v>
      </c>
      <c r="F32" s="23">
        <v>76</v>
      </c>
      <c r="G32" s="24" t="s">
        <v>60</v>
      </c>
      <c r="H32" s="276"/>
    </row>
    <row r="33" spans="2:8" s="68" customFormat="1" ht="15.75" customHeight="1" x14ac:dyDescent="0.3">
      <c r="B33" s="43">
        <v>70</v>
      </c>
      <c r="C33" s="39">
        <v>71.17</v>
      </c>
      <c r="D33" s="44">
        <v>75</v>
      </c>
      <c r="F33" s="23">
        <v>75</v>
      </c>
      <c r="G33" s="24" t="s">
        <v>60</v>
      </c>
      <c r="H33" s="279"/>
    </row>
    <row r="34" spans="2:8" s="68" customFormat="1" ht="15.6" customHeight="1" x14ac:dyDescent="0.3">
      <c r="B34" s="42">
        <v>65.34</v>
      </c>
      <c r="C34" s="38">
        <v>69.989999999999995</v>
      </c>
      <c r="D34" s="41">
        <v>74</v>
      </c>
      <c r="F34" s="23">
        <v>74</v>
      </c>
      <c r="G34" s="24" t="s">
        <v>62</v>
      </c>
      <c r="H34" s="278" t="s">
        <v>63</v>
      </c>
    </row>
    <row r="35" spans="2:8" s="68" customFormat="1" ht="15.6" customHeight="1" x14ac:dyDescent="0.3">
      <c r="B35" s="42">
        <v>60.67</v>
      </c>
      <c r="C35" s="38">
        <v>65.33</v>
      </c>
      <c r="D35" s="41">
        <v>73</v>
      </c>
      <c r="F35" s="23">
        <v>73</v>
      </c>
      <c r="G35" s="24" t="s">
        <v>62</v>
      </c>
      <c r="H35" s="276"/>
    </row>
    <row r="36" spans="2:8" s="68" customFormat="1" ht="15.6" customHeight="1" x14ac:dyDescent="0.3">
      <c r="B36" s="42">
        <v>56.01</v>
      </c>
      <c r="C36" s="38">
        <v>60.66</v>
      </c>
      <c r="D36" s="41">
        <v>72</v>
      </c>
      <c r="F36" s="23">
        <v>72</v>
      </c>
      <c r="G36" s="24" t="s">
        <v>62</v>
      </c>
      <c r="H36" s="276"/>
    </row>
    <row r="37" spans="2:8" s="68" customFormat="1" ht="15.6" customHeight="1" x14ac:dyDescent="0.3">
      <c r="B37" s="42">
        <v>51.34</v>
      </c>
      <c r="C37" s="37">
        <v>56</v>
      </c>
      <c r="D37" s="41">
        <v>71</v>
      </c>
      <c r="F37" s="23">
        <v>71</v>
      </c>
      <c r="G37" s="24" t="s">
        <v>62</v>
      </c>
      <c r="H37" s="276"/>
    </row>
    <row r="38" spans="2:8" s="68" customFormat="1" ht="15.6" customHeight="1" x14ac:dyDescent="0.3">
      <c r="B38" s="42">
        <v>46.67</v>
      </c>
      <c r="C38" s="38">
        <v>51.33</v>
      </c>
      <c r="D38" s="41">
        <v>70</v>
      </c>
      <c r="F38" s="23">
        <v>70</v>
      </c>
      <c r="G38" s="24" t="s">
        <v>62</v>
      </c>
      <c r="H38" s="276"/>
    </row>
    <row r="39" spans="2:8" s="68" customFormat="1" ht="15.6" customHeight="1" x14ac:dyDescent="0.3">
      <c r="B39" s="42">
        <v>42.01</v>
      </c>
      <c r="C39" s="38">
        <v>46.66</v>
      </c>
      <c r="D39" s="41">
        <v>69</v>
      </c>
      <c r="F39" s="23">
        <v>69</v>
      </c>
      <c r="G39" s="24" t="s">
        <v>62</v>
      </c>
      <c r="H39" s="276"/>
    </row>
    <row r="40" spans="2:8" s="68" customFormat="1" ht="15.6" customHeight="1" x14ac:dyDescent="0.3">
      <c r="B40" s="42">
        <v>37.340000000000003</v>
      </c>
      <c r="C40" s="37">
        <v>42</v>
      </c>
      <c r="D40" s="41">
        <v>68</v>
      </c>
      <c r="F40" s="23">
        <v>68</v>
      </c>
      <c r="G40" s="24" t="s">
        <v>62</v>
      </c>
      <c r="H40" s="276"/>
    </row>
    <row r="41" spans="2:8" s="68" customFormat="1" ht="15.6" customHeight="1" x14ac:dyDescent="0.3">
      <c r="B41" s="42">
        <v>32.68</v>
      </c>
      <c r="C41" s="38">
        <v>37.33</v>
      </c>
      <c r="D41" s="41">
        <v>67</v>
      </c>
      <c r="F41" s="23">
        <v>67</v>
      </c>
      <c r="G41" s="24" t="s">
        <v>62</v>
      </c>
      <c r="H41" s="276"/>
    </row>
    <row r="42" spans="2:8" s="68" customFormat="1" ht="15.6" customHeight="1" x14ac:dyDescent="0.3">
      <c r="B42" s="42">
        <v>28.01</v>
      </c>
      <c r="C42" s="38">
        <v>32.67</v>
      </c>
      <c r="D42" s="41">
        <v>66</v>
      </c>
      <c r="F42" s="23">
        <v>66</v>
      </c>
      <c r="G42" s="24" t="s">
        <v>62</v>
      </c>
      <c r="H42" s="276"/>
    </row>
    <row r="43" spans="2:8" s="68" customFormat="1" ht="15.6" customHeight="1" x14ac:dyDescent="0.3">
      <c r="B43" s="42">
        <v>23.35</v>
      </c>
      <c r="C43" s="37">
        <v>28</v>
      </c>
      <c r="D43" s="41">
        <v>65</v>
      </c>
      <c r="F43" s="23">
        <v>65</v>
      </c>
      <c r="G43" s="24" t="s">
        <v>62</v>
      </c>
      <c r="H43" s="279"/>
    </row>
    <row r="44" spans="2:8" s="68" customFormat="1" ht="15.6" customHeight="1" x14ac:dyDescent="0.3">
      <c r="B44" s="42">
        <v>18.68</v>
      </c>
      <c r="C44" s="38">
        <v>23.34</v>
      </c>
      <c r="D44" s="41">
        <v>64</v>
      </c>
      <c r="F44" s="23">
        <v>64</v>
      </c>
      <c r="G44" s="24" t="s">
        <v>64</v>
      </c>
      <c r="H44" s="275" t="s">
        <v>65</v>
      </c>
    </row>
    <row r="45" spans="2:8" s="68" customFormat="1" ht="15.6" customHeight="1" x14ac:dyDescent="0.3">
      <c r="B45" s="42">
        <v>14.01</v>
      </c>
      <c r="C45" s="38">
        <v>18.670000000000002</v>
      </c>
      <c r="D45" s="41">
        <v>63</v>
      </c>
      <c r="F45" s="23">
        <v>63</v>
      </c>
      <c r="G45" s="24" t="s">
        <v>64</v>
      </c>
      <c r="H45" s="276"/>
    </row>
    <row r="46" spans="2:8" s="68" customFormat="1" ht="15.6" customHeight="1" x14ac:dyDescent="0.3">
      <c r="B46" s="42">
        <v>9.35</v>
      </c>
      <c r="C46" s="37">
        <v>14</v>
      </c>
      <c r="D46" s="41">
        <v>62</v>
      </c>
      <c r="F46" s="23">
        <v>62</v>
      </c>
      <c r="G46" s="24" t="s">
        <v>64</v>
      </c>
      <c r="H46" s="276"/>
    </row>
    <row r="47" spans="2:8" s="68" customFormat="1" ht="15.6" customHeight="1" x14ac:dyDescent="0.3">
      <c r="B47" s="42">
        <v>4.68</v>
      </c>
      <c r="C47" s="38">
        <v>9.34</v>
      </c>
      <c r="D47" s="41">
        <v>61</v>
      </c>
      <c r="F47" s="23">
        <v>61</v>
      </c>
      <c r="G47" s="24" t="s">
        <v>64</v>
      </c>
      <c r="H47" s="276"/>
    </row>
    <row r="48" spans="2:8" s="68" customFormat="1" ht="16.2" customHeight="1" x14ac:dyDescent="0.3">
      <c r="B48" s="45">
        <v>0</v>
      </c>
      <c r="C48" s="46">
        <v>4.67</v>
      </c>
      <c r="D48" s="47">
        <v>60</v>
      </c>
      <c r="F48" s="25">
        <v>60</v>
      </c>
      <c r="G48" s="26" t="s">
        <v>64</v>
      </c>
      <c r="H48" s="277"/>
    </row>
    <row r="49" spans="2:8" s="68" customFormat="1" ht="15" customHeight="1" x14ac:dyDescent="0.25">
      <c r="B49" s="17"/>
      <c r="C49" s="17"/>
      <c r="D49" s="17"/>
      <c r="G49" s="17"/>
      <c r="H49" s="27"/>
    </row>
    <row r="50" spans="2:8" s="68" customFormat="1" ht="15" customHeight="1" x14ac:dyDescent="0.25">
      <c r="B50" s="17"/>
      <c r="C50" s="17"/>
      <c r="D50" s="17"/>
      <c r="G50" s="17"/>
      <c r="H50" s="27"/>
    </row>
  </sheetData>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2026-09-01T00:02:49Z</cp:lastPrinted>
  <dcterms:modified xsi:type="dcterms:W3CDTF">2026-09-02T09:19:16Z</dcterms:modified>
</cp:coreProperties>
</file>